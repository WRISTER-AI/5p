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arget List" sheetId="2" state="visible" r:id="rId4"/>
    <sheet name="Routes" sheetId="3" state="visible" r:id="rId5"/>
    <sheet name="Drop-Off Playbook" sheetId="4" state="visible" r:id="rId6"/>
  </sheets>
  <definedNames>
    <definedName function="false" hidden="true" localSheetId="1" name="_xlnm._FilterDatabase" vbProcedure="false">'Target List'!$A$1:$U$105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<sst xmlns="http://schemas.openxmlformats.org/spreadsheetml/2006/main" count="1489" uniqueCount="988">
  <si>
    <t xml:space="preserve">Rockland &amp; Hanover Drop-Off Target List</t>
  </si>
  <si>
    <t xml:space="preserve">In-person prospecting universe for 5 Point Technology. Built August 24, 2026.</t>
  </si>
  <si>
    <t xml:space="preserve">What this is</t>
  </si>
  <si>
    <t xml:space="preserve">104 businesses within about 15 minutes of Rockland and Hanover, MA: Rockland, Hanover, Norwell,</t>
  </si>
  <si>
    <t xml:space="preserve">Pembroke, Whitman, Abington, Hanson, plus one flagged nearby HQ. Sized roughly 20 to 500 on site,</t>
  </si>
  <si>
    <t xml:space="preserve">with a few larger local anchors kept in on purpose. Grouped into drivable half-day routes.</t>
  </si>
  <si>
    <t xml:space="preserve">Tiers</t>
  </si>
  <si>
    <t xml:space="preserve">A</t>
  </si>
  <si>
    <t xml:space="preserve">Bullseye. Fits the 5PT ICP: 50 to 500 staff or a compliance heavy vertical, decision maker on site.</t>
  </si>
  <si>
    <t xml:space="preserve">B</t>
  </si>
  <si>
    <t xml:space="preserve">Strong fit. Typically 25 to 100 staff, real office and operations, worth a stop on every route pass.</t>
  </si>
  <si>
    <t xml:space="preserve">C</t>
  </si>
  <si>
    <t xml:space="preserve">Opportunistic. Branches of larger companies, big local anchors, trades and dealers. Visit when on route.</t>
  </si>
  <si>
    <t xml:space="preserve">Counts</t>
  </si>
  <si>
    <t xml:space="preserve">Total targets</t>
  </si>
  <si>
    <t xml:space="preserve">Tier A</t>
  </si>
  <si>
    <t xml:space="preserve">Tier B</t>
  </si>
  <si>
    <t xml:space="preserve">Tier C</t>
  </si>
  <si>
    <t xml:space="preserve">With named IT contact</t>
  </si>
  <si>
    <t xml:space="preserve">With named owner/exec</t>
  </si>
  <si>
    <t xml:space="preserve">Your columns (highlighted yellow in the Target List)</t>
  </si>
  <si>
    <t xml:space="preserve">Status, Visit date, and Next step are yours to fill after each stop. Status has a dropdown. Example:</t>
  </si>
  <si>
    <t xml:space="preserve">Status</t>
  </si>
  <si>
    <t xml:space="preserve">Visit date</t>
  </si>
  <si>
    <t xml:space="preserve">Next step</t>
  </si>
  <si>
    <t xml:space="preserve">Met DM</t>
  </si>
  <si>
    <t xml:space="preserve">09/03/26</t>
  </si>
  <si>
    <t xml:space="preserve">Call booked Tue 9/9 9am w/ Anthony</t>
  </si>
  <si>
    <t xml:space="preserve">Sources and caveats</t>
  </si>
  <si>
    <t xml:space="preserve">Company and contact data: ZoomInfo, pulled and enriched 08/24/2026. Flagged rows spot checked on the web.</t>
  </si>
  <si>
    <t xml:space="preserve">Employee counts are ZoomInfo estimates and often span all of a company's locations, not just this address.</t>
  </si>
  <si>
    <t xml:space="preserve">Excluded on purpose: town government, public schools, police, restaurants and salons, other IT providers,</t>
  </si>
  <si>
    <t xml:space="preserve">and listings that were defunct or wrongly geocoded. Contact names age fast: confirm at the front desk.</t>
  </si>
  <si>
    <t xml:space="preserve">The Parent / ownership column flags branches and acquisitions where IT may be decided elsewhere.</t>
  </si>
  <si>
    <t xml:space="preserve">Tier</t>
  </si>
  <si>
    <t xml:space="preserve">Route</t>
  </si>
  <si>
    <t xml:space="preserve">Company</t>
  </si>
  <si>
    <t xml:space="preserve">What they do</t>
  </si>
  <si>
    <t xml:space="preserve">Street (map link)</t>
  </si>
  <si>
    <t xml:space="preserve">Town</t>
  </si>
  <si>
    <t xml:space="preserve">Phone</t>
  </si>
  <si>
    <t xml:space="preserve">IT contact (ask for)</t>
  </si>
  <si>
    <t xml:space="preserve">Owner / exec</t>
  </si>
  <si>
    <t xml:space="preserve">Door opener</t>
  </si>
  <si>
    <t xml:space="preserve">Emp est</t>
  </si>
  <si>
    <t xml:space="preserve">Rev $M</t>
  </si>
  <si>
    <t xml:space="preserve">Founded</t>
  </si>
  <si>
    <t xml:space="preserve">Parent / ownership</t>
  </si>
  <si>
    <t xml:space="preserve">Website</t>
  </si>
  <si>
    <t xml:space="preserve">Notes</t>
  </si>
  <si>
    <t xml:space="preserve">ZIP</t>
  </si>
  <si>
    <t xml:space="preserve">ZoomInfo ID</t>
  </si>
  <si>
    <t xml:space="preserve">R1 Rockland Exit14/Ledgewood</t>
  </si>
  <si>
    <t xml:space="preserve">Cutter Associates</t>
  </si>
  <si>
    <t xml:space="preserve">Investment management research and consulting</t>
  </si>
  <si>
    <t xml:space="preserve">1050 Hingham St, Fl 1</t>
  </si>
  <si>
    <t xml:space="preserve">Rockland</t>
  </si>
  <si>
    <t xml:space="preserve">(339) 469-0600</t>
  </si>
  <si>
    <t xml:space="preserve">Cindy Castellano (Chief Executive Officer)</t>
  </si>
  <si>
    <t xml:space="preserve">Financial services firm handling asset manager data. Lead with security posture and M365 hardening.</t>
  </si>
  <si>
    <t xml:space="preserve">Nomura Research Institute</t>
  </si>
  <si>
    <t xml:space="preserve">cutterassociates.com</t>
  </si>
  <si>
    <t xml:space="preserve">Owned by Nomura Research Institute since 2022. Local office still runs day to day here. Hybrid workforce.</t>
  </si>
  <si>
    <t xml:space="preserve">Not visited</t>
  </si>
  <si>
    <t xml:space="preserve">02370</t>
  </si>
  <si>
    <t xml:space="preserve">FINTRX</t>
  </si>
  <si>
    <t xml:space="preserve">Family office and RIA data platform (SaaS)</t>
  </si>
  <si>
    <t xml:space="preserve">40 Reservoir Park Dr, Ste A</t>
  </si>
  <si>
    <t xml:space="preserve">(617) 517-0789</t>
  </si>
  <si>
    <t xml:space="preserve">Bruno Bonifacini (Software Developer &amp; Security Integrations Specialist)</t>
  </si>
  <si>
    <t xml:space="preserve">Dennis Caulfield (Chief Product &amp; Data Officer)</t>
  </si>
  <si>
    <t xml:space="preserve">Growing fintech with SOC 2 expectations from clients. Lead with co-managed security and compliance.</t>
  </si>
  <si>
    <t xml:space="preserve">fintrx.com</t>
  </si>
  <si>
    <t xml:space="preserve">Has developers but likely thin IT ops. Good co-managed fit. Fast growth company.</t>
  </si>
  <si>
    <t xml:space="preserve">The Catered Affair</t>
  </si>
  <si>
    <t xml:space="preserve">High end catering and events company, HQ</t>
  </si>
  <si>
    <t xml:space="preserve">70 Ledgewood Pl</t>
  </si>
  <si>
    <t xml:space="preserve">(781) 982-9333</t>
  </si>
  <si>
    <t xml:space="preserve">Gare Reid (Manager, Systems Integration)</t>
  </si>
  <si>
    <t xml:space="preserve">Holly Safford (Founder &amp; President)</t>
  </si>
  <si>
    <t xml:space="preserve">Seasonal staff surges and POS plus office systems. Lead with device turnaround and help desk overflow.</t>
  </si>
  <si>
    <t xml:space="preserve">thecateredaffair.com</t>
  </si>
  <si>
    <t xml:space="preserve">Runs venues across Boston area from this HQ. Employee count includes event staff.</t>
  </si>
  <si>
    <t xml:space="preserve">ControlPoint Technologies</t>
  </si>
  <si>
    <t xml:space="preserve">Electrical engineering and utility consulting</t>
  </si>
  <si>
    <t xml:space="preserve">200 Ledgewood Pl, Ste 300</t>
  </si>
  <si>
    <t xml:space="preserve">(781) 261-9666</t>
  </si>
  <si>
    <t xml:space="preserve">Adam Houghton (Director, System Planning)</t>
  </si>
  <si>
    <t xml:space="preserve">Jeffrey Flint (President)</t>
  </si>
  <si>
    <t xml:space="preserve">Engineers with CAD workstations and utility client data. Lead with backup, DR and project file uptime.</t>
  </si>
  <si>
    <t xml:space="preserve">cpteng.com</t>
  </si>
  <si>
    <t xml:space="preserve">Same building as Food Tech. Two stops, one parking lot.</t>
  </si>
  <si>
    <t xml:space="preserve">Burke &amp; Associates CPAs</t>
  </si>
  <si>
    <t xml:space="preserve">CPA and advisory firm</t>
  </si>
  <si>
    <t xml:space="preserve">300 Ledgewood Pl, Ste 300</t>
  </si>
  <si>
    <t xml:space="preserve">(781) 741-8887</t>
  </si>
  <si>
    <t xml:space="preserve">CPA firms must have a written security plan under FTC Safeguards. Ask who maintains their WISP.</t>
  </si>
  <si>
    <t xml:space="preserve">burkeandassoc.com</t>
  </si>
  <si>
    <t xml:space="preserve">Tax season uptime is everything. Best visited May through November.</t>
  </si>
  <si>
    <t xml:space="preserve">EMD Serono</t>
  </si>
  <si>
    <t xml:space="preserve">Biopharma R&amp;D campus (Merck KGaA)</t>
  </si>
  <si>
    <t xml:space="preserve">1 Technology Pl</t>
  </si>
  <si>
    <t xml:space="preserve">(800) 283-8088</t>
  </si>
  <si>
    <t xml:space="preserve">Richard Feldman (Vice President, Trade Product Security &amp; Done)</t>
  </si>
  <si>
    <t xml:space="preserve">Enterprise IT runs from global. Networking value only. Do not cold walk in past security.</t>
  </si>
  <si>
    <t xml:space="preserve">Merck KGaA</t>
  </si>
  <si>
    <t xml:space="preserve">emdserono.com</t>
  </si>
  <si>
    <t xml:space="preserve">Long shot. Better reached through events or referrals than a lobby visit.</t>
  </si>
  <si>
    <t xml:space="preserve">Food Tech</t>
  </si>
  <si>
    <t xml:space="preserve">Design build firm for food processing facilities</t>
  </si>
  <si>
    <t xml:space="preserve">200 Ledgewood Pl, Ste 200</t>
  </si>
  <si>
    <t xml:space="preserve">(781) 261-9700</t>
  </si>
  <si>
    <t xml:space="preserve">Leanda Karunia (Manager, Process &amp; System Cum PA)</t>
  </si>
  <si>
    <t xml:space="preserve">Jonathan Kohan (President)</t>
  </si>
  <si>
    <t xml:space="preserve">Project teams in the field need reliable laptops and file access. Lead with device management.</t>
  </si>
  <si>
    <t xml:space="preserve">EMCOR Group</t>
  </si>
  <si>
    <t xml:space="preserve">foodtech.com</t>
  </si>
  <si>
    <t xml:space="preserve">EMCOR subsidiary, so corporate IT may exist. Local office worth a walk in while next door.</t>
  </si>
  <si>
    <t xml:space="preserve">R2 Rockland Weymouth/Union</t>
  </si>
  <si>
    <t xml:space="preserve">Rockland Federal Credit Union</t>
  </si>
  <si>
    <t xml:space="preserve">Credit union, main office</t>
  </si>
  <si>
    <t xml:space="preserve">241 Union St</t>
  </si>
  <si>
    <t xml:space="preserve">(781) 878-0232</t>
  </si>
  <si>
    <t xml:space="preserve">Mark Federico (Chief Information Officer)</t>
  </si>
  <si>
    <t xml:space="preserve">Kristin VanBeek (Chief Executive Officer &amp; President)</t>
  </si>
  <si>
    <t xml:space="preserve">NCUA exams and vendor management pressure. Lead with vCISO, compliance alignment and MDR.</t>
  </si>
  <si>
    <t xml:space="preserve">rfcu.com</t>
  </si>
  <si>
    <t xml:space="preserve">Has internal IT led by a senior VP. Co-managed and security services angle, not full outsource.</t>
  </si>
  <si>
    <t xml:space="preserve">UPPAbaby</t>
  </si>
  <si>
    <t xml:space="preserve">Premium stroller and car seat brand, global HQ</t>
  </si>
  <si>
    <t xml:space="preserve">276 Weymouth St</t>
  </si>
  <si>
    <t xml:space="preserve">(781) 413-3000</t>
  </si>
  <si>
    <t xml:space="preserve">Darrell Van Meter (Director, Information Technology)</t>
  </si>
  <si>
    <t xml:space="preserve">Bob Monahan (Chief Executive Officer &amp; Co-Founder)</t>
  </si>
  <si>
    <t xml:space="preserve">Consumer brand with e-commerce, EDI and product data to protect. Lead with security and uptime.</t>
  </si>
  <si>
    <t xml:space="preserve">uppababy.com</t>
  </si>
  <si>
    <t xml:space="preserve">Flagship local HQ. CPSC regulated products mean documentation and systems matter.</t>
  </si>
  <si>
    <t xml:space="preserve">Polymer Corporation</t>
  </si>
  <si>
    <t xml:space="preserve">Custom plastics and thermoforming manufacturer</t>
  </si>
  <si>
    <t xml:space="preserve">180 Pleasant St</t>
  </si>
  <si>
    <t xml:space="preserve">(781) 871-4606</t>
  </si>
  <si>
    <t xml:space="preserve">Ashwani Sharma (System Engineer)</t>
  </si>
  <si>
    <t xml:space="preserve">Jim Ryan (President)</t>
  </si>
  <si>
    <t xml:space="preserve">100 person manufacturer, likely 0 to 2 IT staff. Lead with co-managed support and plant uptime.</t>
  </si>
  <si>
    <t xml:space="preserve">polymercorporation.com</t>
  </si>
  <si>
    <t xml:space="preserve">Classic ICP manufacturer. Strong first stop.</t>
  </si>
  <si>
    <t xml:space="preserve">Briggs Engineering</t>
  </si>
  <si>
    <t xml:space="preserve">Civil and structural engineering, survey</t>
  </si>
  <si>
    <t xml:space="preserve">100 Weymouth St, Ste C2</t>
  </si>
  <si>
    <t xml:space="preserve">(781) 871-6040</t>
  </si>
  <si>
    <t xml:space="preserve">Sean Skorohod (Testing Services President &amp; Director)</t>
  </si>
  <si>
    <t xml:space="preserve">CAD and survey data with municipal clients. Lead with backup, DR and file server performance.</t>
  </si>
  <si>
    <t xml:space="preserve">briggsengineering.com</t>
  </si>
  <si>
    <t xml:space="preserve">Same complex as Bendon Gear. Two stops, one lot.</t>
  </si>
  <si>
    <t xml:space="preserve">National Coating</t>
  </si>
  <si>
    <t xml:space="preserve">Coated fabrics and technical textiles manufacturer</t>
  </si>
  <si>
    <t xml:space="preserve">105 Industrial Way</t>
  </si>
  <si>
    <t xml:space="preserve">(800) 979-9332</t>
  </si>
  <si>
    <t xml:space="preserve">Production scheduling and quality systems on aging infrastructure is common here. Ask about uptime.</t>
  </si>
  <si>
    <t xml:space="preserve">natcoat.com</t>
  </si>
  <si>
    <t xml:space="preserve">K5 Corporation</t>
  </si>
  <si>
    <t xml:space="preserve">Utility and civil construction contractor</t>
  </si>
  <si>
    <t xml:space="preserve">9 Rockview Way, Ste B</t>
  </si>
  <si>
    <t xml:space="preserve">(781) 982-9229</t>
  </si>
  <si>
    <t xml:space="preserve">Ronald Beaudoin (Chief Executive Officer)</t>
  </si>
  <si>
    <t xml:space="preserve">Contractors are prime wire fraud targets. Lead with email security and payment fraud protection.</t>
  </si>
  <si>
    <t xml:space="preserve">k5corporation.com</t>
  </si>
  <si>
    <t xml:space="preserve">Next door to Commonwealth Building Systems.</t>
  </si>
  <si>
    <t xml:space="preserve">George T. Wilkinson</t>
  </si>
  <si>
    <t xml:space="preserve">Commercial HVAC service and mechanical contractor</t>
  </si>
  <si>
    <t xml:space="preserve">405 VFW Dr, Ste 1</t>
  </si>
  <si>
    <t xml:space="preserve">(781) 335-2622</t>
  </si>
  <si>
    <t xml:space="preserve">Geoffrey Wilkinson (Chief Executive Officer)</t>
  </si>
  <si>
    <t xml:space="preserve">Dispatch, service software and field devices. Lead with help desk and device management.</t>
  </si>
  <si>
    <t xml:space="preserve">gtwilkinson.com</t>
  </si>
  <si>
    <t xml:space="preserve">Commonwealth Building Systems</t>
  </si>
  <si>
    <t xml:space="preserve">Drywall and framing subcontractor</t>
  </si>
  <si>
    <t xml:space="preserve">17 Rockview Way</t>
  </si>
  <si>
    <t xml:space="preserve">(781) 792-0032</t>
  </si>
  <si>
    <t xml:space="preserve">Estimating and project files plus field crews. Lead with backup and email fraud protection.</t>
  </si>
  <si>
    <t xml:space="preserve">commonwealthbuildingsystems.com</t>
  </si>
  <si>
    <t xml:space="preserve">Next door to K5. Pair the stops.</t>
  </si>
  <si>
    <t xml:space="preserve">Bendon Gear &amp; Machine</t>
  </si>
  <si>
    <t xml:space="preserve">Precision gear and machine shop (defense work)</t>
  </si>
  <si>
    <t xml:space="preserve">100 Weymouth St, Ste A1</t>
  </si>
  <si>
    <t xml:space="preserve">(781) 878-8100</t>
  </si>
  <si>
    <t xml:space="preserve">S. Belezos (Founder and Chief Executive Officer)</t>
  </si>
  <si>
    <t xml:space="preserve">Defense suppliers face CMMC requirements. Ask how they are handling CMMC and NIST 800-171.</t>
  </si>
  <si>
    <t xml:space="preserve">bendongear.com</t>
  </si>
  <si>
    <t xml:space="preserve">ITAR and CMMC pressure is a strong door opener for machine shops.</t>
  </si>
  <si>
    <t xml:space="preserve">Alletess Medical Laboratory</t>
  </si>
  <si>
    <t xml:space="preserve">Clinical allergy and immunology lab</t>
  </si>
  <si>
    <t xml:space="preserve">14 Howard St</t>
  </si>
  <si>
    <t xml:space="preserve">(800) 225-5404</t>
  </si>
  <si>
    <t xml:space="preserve">John Connelly (IT Specialist)</t>
  </si>
  <si>
    <t xml:space="preserve">Mark McDonough (Chief Executive Officer)</t>
  </si>
  <si>
    <t xml:space="preserve">CLIA lab with PHI. Lead with HIPAA risk assessment and lab system uptime.</t>
  </si>
  <si>
    <t xml:space="preserve">foodallergy.com</t>
  </si>
  <si>
    <t xml:space="preserve">Rockland Trust (Independent Bank Corp)</t>
  </si>
  <si>
    <t xml:space="preserve">Commercial bank, corporate offices</t>
  </si>
  <si>
    <t xml:space="preserve">288 Union St</t>
  </si>
  <si>
    <t xml:space="preserve">(508) 732-7072</t>
  </si>
  <si>
    <t xml:space="preserve">Dave Marsh (Interim Chief Information Officer)</t>
  </si>
  <si>
    <t xml:space="preserve">Enterprise bank with a full IT department. Networking and events only.</t>
  </si>
  <si>
    <t xml:space="preserve">Independent Bank Corp</t>
  </si>
  <si>
    <t xml:space="preserve">rocklandtrust.com</t>
  </si>
  <si>
    <t xml:space="preserve">Long shot. Do not cold walk in. Useful for community sponsorship visibility.</t>
  </si>
  <si>
    <t xml:space="preserve">United A/C, Heating &amp; Refrigeration</t>
  </si>
  <si>
    <t xml:space="preserve">Commercial HVAC and refrigeration contractor</t>
  </si>
  <si>
    <t xml:space="preserve">333 Weymouth St</t>
  </si>
  <si>
    <t xml:space="preserve">(781) 871-1060</t>
  </si>
  <si>
    <t xml:space="preserve">Thomas Scolaro (President)</t>
  </si>
  <si>
    <t xml:space="preserve">Field techs on mobile devices and dispatch software. Lead with help desk and device management.</t>
  </si>
  <si>
    <t xml:space="preserve">united-hvac.com</t>
  </si>
  <si>
    <t xml:space="preserve">Employee count may include field crews.</t>
  </si>
  <si>
    <t xml:space="preserve">Green Environmental</t>
  </si>
  <si>
    <t xml:space="preserve">Environmental testing and consulting</t>
  </si>
  <si>
    <t xml:space="preserve">296 Weymouth St, Ste C</t>
  </si>
  <si>
    <t xml:space="preserve">(617) 479-0550</t>
  </si>
  <si>
    <t xml:space="preserve">Donnie Green (President)</t>
  </si>
  <si>
    <t xml:space="preserve">Lab data and client reports need retention and backup. Lead with data protection.</t>
  </si>
  <si>
    <t xml:space="preserve">greenenvironmental.com</t>
  </si>
  <si>
    <t xml:space="preserve">OneScience</t>
  </si>
  <si>
    <t xml:space="preserve">Scientific staffing and lab services</t>
  </si>
  <si>
    <t xml:space="preserve">222 Weymouth St, Ste 2</t>
  </si>
  <si>
    <t xml:space="preserve">(508) 930-1270</t>
  </si>
  <si>
    <t xml:space="preserve">Placement records and client portals. Lead with M365 security and help desk.</t>
  </si>
  <si>
    <t xml:space="preserve">onescience.com</t>
  </si>
  <si>
    <t xml:space="preserve">MIJA</t>
  </si>
  <si>
    <t xml:space="preserve">Pressure gauge and sensor manufacturer</t>
  </si>
  <si>
    <t xml:space="preserve">11 Commerce Rd, Ste C</t>
  </si>
  <si>
    <t xml:space="preserve">(781) 871-5750</t>
  </si>
  <si>
    <t xml:space="preserve">James Sommerio (President)</t>
  </si>
  <si>
    <t xml:space="preserve">Manufacturer with fire safety OEM customers. Lead with production uptime and email security.</t>
  </si>
  <si>
    <t xml:space="preserve">Valcom / Keltron</t>
  </si>
  <si>
    <t xml:space="preserve">mija.com</t>
  </si>
  <si>
    <t xml:space="preserve">Acquired by Keltron. Confirm who owns IT decisions locally.</t>
  </si>
  <si>
    <t xml:space="preserve">RuggedMade</t>
  </si>
  <si>
    <t xml:space="preserve">Log splitters and outdoor power equipment, e-commerce</t>
  </si>
  <si>
    <t xml:space="preserve">7 Market St</t>
  </si>
  <si>
    <t xml:space="preserve">(855) 878-4433</t>
  </si>
  <si>
    <t xml:space="preserve">Jared Malarsky (President)</t>
  </si>
  <si>
    <t xml:space="preserve">E-commerce ops and warehouse systems. Lead with uptime and endpoint security.</t>
  </si>
  <si>
    <t xml:space="preserve">ruggedmade.com</t>
  </si>
  <si>
    <t xml:space="preserve">N1 Norwell Accord Park</t>
  </si>
  <si>
    <t xml:space="preserve">Avedis Zildjian Company</t>
  </si>
  <si>
    <t xml:space="preserve">Cymbal and drumstick maker, global HQ and factory</t>
  </si>
  <si>
    <t xml:space="preserve">22 Longwater Dr</t>
  </si>
  <si>
    <t xml:space="preserve">Norwell</t>
  </si>
  <si>
    <t xml:space="preserve">(781) 871-2200</t>
  </si>
  <si>
    <t xml:space="preserve">James Clifford (Senior Director, Information Technology)</t>
  </si>
  <si>
    <t xml:space="preserve">Thomas Young (Senior Vice President, Chief Financial Officer and Treasurer)</t>
  </si>
  <si>
    <t xml:space="preserve">400 year old brand with modern e-commerce and a factory floor. Lead with plant uptime and security.</t>
  </si>
  <si>
    <t xml:space="preserve">zildjian.com</t>
  </si>
  <si>
    <t xml:space="preserve">Vic Firth is part of Zildjian, same campus. Iconic account for local proof.</t>
  </si>
  <si>
    <t xml:space="preserve">02061</t>
  </si>
  <si>
    <t xml:space="preserve">Radius Financial Group</t>
  </si>
  <si>
    <t xml:space="preserve">Mortgage lender, HQ</t>
  </si>
  <si>
    <t xml:space="preserve">600 Longwater Dr, Ste 107</t>
  </si>
  <si>
    <t xml:space="preserve">(877) 223-4800</t>
  </si>
  <si>
    <t xml:space="preserve">Jake Gent (IT Support Specialist)</t>
  </si>
  <si>
    <t xml:space="preserve">David O'Connor (Chief Technology Officer)</t>
  </si>
  <si>
    <t xml:space="preserve">GLBA safeguards and loan file security. Lead with compliance, MDR and endpoint management.</t>
  </si>
  <si>
    <t xml:space="preserve">radiusgrp.com</t>
  </si>
  <si>
    <t xml:space="preserve">Same building as Miniter Group, different suite. Pair the stops.</t>
  </si>
  <si>
    <t xml:space="preserve">NVNA and Hospice (Norwell VNA)</t>
  </si>
  <si>
    <t xml:space="preserve">Visiting nurse association and hospice, nonprofit</t>
  </si>
  <si>
    <t xml:space="preserve">120 Longwater Dr, Ste 104</t>
  </si>
  <si>
    <t xml:space="preserve">(781) 659-2342</t>
  </si>
  <si>
    <t xml:space="preserve">Samuel Lutz (It Help Desk Technician)</t>
  </si>
  <si>
    <t xml:space="preserve">Bj Snow (Chief Human Resources Officer)</t>
  </si>
  <si>
    <t xml:space="preserve">Clinicians in the field on mobile devices with PHI. Lead with HIPAA, device management and help desk.</t>
  </si>
  <si>
    <t xml:space="preserve">nvna.org</t>
  </si>
  <si>
    <t xml:space="preserve">Nonprofit budget cycle. EHR uptime and clinician onboarding speed are real pains.</t>
  </si>
  <si>
    <t xml:space="preserve">DIH Holding US (Hocoma)</t>
  </si>
  <si>
    <t xml:space="preserve">Rehab robotics and medtech, US HQ</t>
  </si>
  <si>
    <t xml:space="preserve">77 Accord Park Dr, Ste D1</t>
  </si>
  <si>
    <t xml:space="preserve">(617) 871-2101</t>
  </si>
  <si>
    <t xml:space="preserve">Haile Mitiku (Manager, Information Technology)</t>
  </si>
  <si>
    <t xml:space="preserve">Jason Chen (Chief Executive Officer &amp; Chairman)</t>
  </si>
  <si>
    <t xml:space="preserve">Public medtech company with FDA documentation needs. Lead with compliance ready IT and security.</t>
  </si>
  <si>
    <t xml:space="preserve">dih.com</t>
  </si>
  <si>
    <t xml:space="preserve">NASDAQ listed. Hocoma brand runs from same office.</t>
  </si>
  <si>
    <t xml:space="preserve">Miniter Group</t>
  </si>
  <si>
    <t xml:space="preserve">Lender placed insurance and insurtech</t>
  </si>
  <si>
    <t xml:space="preserve">600 Longwater Dr, Ste 301</t>
  </si>
  <si>
    <t xml:space="preserve">(800) 646-4837</t>
  </si>
  <si>
    <t xml:space="preserve">Wayne Brantley (Chief Information Officer)</t>
  </si>
  <si>
    <t xml:space="preserve">Julianne Gilpin (President &amp; Chief Executive Officer)</t>
  </si>
  <si>
    <t xml:space="preserve">Insurance data plus bank clients means audits. Lead with SOC 2 support and security posture.</t>
  </si>
  <si>
    <t xml:space="preserve">miniter.com</t>
  </si>
  <si>
    <t xml:space="preserve">Same building as Radius. Two ICP financial accounts in one stop.</t>
  </si>
  <si>
    <t xml:space="preserve">Snow &amp; Jones</t>
  </si>
  <si>
    <t xml:space="preserve">Plumbing and HVAC wholesale distributor, HQ</t>
  </si>
  <si>
    <t xml:space="preserve">85 Accord Park Dr</t>
  </si>
  <si>
    <t xml:space="preserve">(781) 878-3312</t>
  </si>
  <si>
    <t xml:space="preserve">Danielle Jones (President)</t>
  </si>
  <si>
    <t xml:space="preserve">Multi branch distributor on one ERP. Lead with branch connectivity, uptime and ransomware defense.</t>
  </si>
  <si>
    <t xml:space="preserve">snowandjones.com</t>
  </si>
  <si>
    <t xml:space="preserve">7 locations run from here.</t>
  </si>
  <si>
    <t xml:space="preserve">Airxchange</t>
  </si>
  <si>
    <t xml:space="preserve">Energy recovery ventilation components manufacturer</t>
  </si>
  <si>
    <t xml:space="preserve">85 Longwater Dr</t>
  </si>
  <si>
    <t xml:space="preserve">(781) 871-4816</t>
  </si>
  <si>
    <t xml:space="preserve">Randall Steele (President &amp; Chief Executive Officer)</t>
  </si>
  <si>
    <t xml:space="preserve">OEM manufacturer with lean office staff. Lead with co-managed IT and production uptime.</t>
  </si>
  <si>
    <t xml:space="preserve">airxchange.com</t>
  </si>
  <si>
    <t xml:space="preserve">Rockland address but sits in the Accord Park corridor. Route with Norwell stops.</t>
  </si>
  <si>
    <t xml:space="preserve">Alternatives ABA</t>
  </si>
  <si>
    <t xml:space="preserve">ABA therapy provider</t>
  </si>
  <si>
    <t xml:space="preserve">76 Accord Park Dr</t>
  </si>
  <si>
    <t xml:space="preserve">(781) 923-0900</t>
  </si>
  <si>
    <t xml:space="preserve">Therapists documenting sessions on tablets. Lead with HIPAA, MDM and fast clinician onboarding.</t>
  </si>
  <si>
    <t xml:space="preserve">alternativesaba.com</t>
  </si>
  <si>
    <t xml:space="preserve">ABA groups grow fast and outgrow their IT.</t>
  </si>
  <si>
    <t xml:space="preserve">North River Home Care</t>
  </si>
  <si>
    <t xml:space="preserve">Private home care agency</t>
  </si>
  <si>
    <t xml:space="preserve">275 Longwater Dr</t>
  </si>
  <si>
    <t xml:space="preserve">(781) 352-0939</t>
  </si>
  <si>
    <t xml:space="preserve">Heather Kenney (Owner)</t>
  </si>
  <si>
    <t xml:space="preserve">Caregiver scheduling and PHI on personal devices. Lead with HIPAA and mobile device management.</t>
  </si>
  <si>
    <t xml:space="preserve">northriverhc.com</t>
  </si>
  <si>
    <t xml:space="preserve">Radio Solutions</t>
  </si>
  <si>
    <t xml:space="preserve">Two way radio and wireless communications dealer</t>
  </si>
  <si>
    <t xml:space="preserve">55 Accord Park Dr</t>
  </si>
  <si>
    <t xml:space="preserve">(781) 561-3000</t>
  </si>
  <si>
    <t xml:space="preserve">Matthew Dalton (Lead System Engineer)</t>
  </si>
  <si>
    <t xml:space="preserve">Admir Surkovic (President, Chief Executive Officer)</t>
  </si>
  <si>
    <t xml:space="preserve">Tech adjacent but not an MSP. Lead with M365, security and back office systems.</t>
  </si>
  <si>
    <t xml:space="preserve">radiosolutionsinc.com</t>
  </si>
  <si>
    <t xml:space="preserve">Possible referral partner too. They see every public safety and facilities buyer locally.</t>
  </si>
  <si>
    <t xml:space="preserve">TryAngle Foods</t>
  </si>
  <si>
    <t xml:space="preserve">Food distribution and provisions</t>
  </si>
  <si>
    <t xml:space="preserve">17 Accord Park Dr, Ste 202</t>
  </si>
  <si>
    <t xml:space="preserve">(781) 871-6969</t>
  </si>
  <si>
    <t xml:space="preserve">Doug Vonlderstein (Founder)</t>
  </si>
  <si>
    <t xml:space="preserve">Orders, routing and invoicing systems. Lead with uptime and email fraud protection.</t>
  </si>
  <si>
    <t xml:space="preserve">tryanglefoods.com</t>
  </si>
  <si>
    <t xml:space="preserve">Blue Bear Plumbing, Heating &amp; Air</t>
  </si>
  <si>
    <t xml:space="preserve">Residential home services, fast growing</t>
  </si>
  <si>
    <t xml:space="preserve">300 Longwater Dr</t>
  </si>
  <si>
    <t xml:space="preserve">(781) 531-8227</t>
  </si>
  <si>
    <t xml:space="preserve">Christopher Murphy (Owner)</t>
  </si>
  <si>
    <t xml:space="preserve">Fast growth home services firm. Lead with scaling help desk, dispatch uptime and onboarding techs.</t>
  </si>
  <si>
    <t xml:space="preserve">bluebearplumbing.com</t>
  </si>
  <si>
    <t xml:space="preserve">PE style growth playbook. Headcount likely higher than listed.</t>
  </si>
  <si>
    <t xml:space="preserve">The Driscoll Agency</t>
  </si>
  <si>
    <t xml:space="preserve">Specialty insurance agency</t>
  </si>
  <si>
    <t xml:space="preserve">141 Longwater Dr, Ste 203</t>
  </si>
  <si>
    <t xml:space="preserve">(781) 681-6656</t>
  </si>
  <si>
    <t xml:space="preserve">Sean Driscoll (Owner)</t>
  </si>
  <si>
    <t xml:space="preserve">Client PII and carrier portals. Lead with email security and compliance basics.</t>
  </si>
  <si>
    <t xml:space="preserve">driscollagency.com</t>
  </si>
  <si>
    <t xml:space="preserve">Safety-Kleen (Clean Harbors)</t>
  </si>
  <si>
    <t xml:space="preserve">Environmental services, corporate offices</t>
  </si>
  <si>
    <t xml:space="preserve">42 Longwater Dr</t>
  </si>
  <si>
    <t xml:space="preserve">(800) 323-5040</t>
  </si>
  <si>
    <t xml:space="preserve">Caroline Johal (Group Manager, Information Technology Enterprise Solution)</t>
  </si>
  <si>
    <t xml:space="preserve">Clean Harbors corporate campus. Enterprise IT. Networking only.</t>
  </si>
  <si>
    <t xml:space="preserve">Clean Harbors</t>
  </si>
  <si>
    <t xml:space="preserve">safety-kleen.com</t>
  </si>
  <si>
    <t xml:space="preserve">Long shot. Skip on drop-off routes unless door is open.</t>
  </si>
  <si>
    <t xml:space="preserve">Sullivan Tire</t>
  </si>
  <si>
    <t xml:space="preserve">Tire and auto service chain, corporate HQ</t>
  </si>
  <si>
    <t xml:space="preserve">41 Accord Park Dr</t>
  </si>
  <si>
    <t xml:space="preserve">(781) 982-1550</t>
  </si>
  <si>
    <t xml:space="preserve">Joshua Sweeney (Supervisor, Application &amp; Systems Development)</t>
  </si>
  <si>
    <t xml:space="preserve">Large internal IT exists. Pitch co-managed burst capacity or specific projects only.</t>
  </si>
  <si>
    <t xml:space="preserve">sullivantire.com</t>
  </si>
  <si>
    <t xml:space="preserve">Family owned, HQ here. Worth relationship building even if no quick win.</t>
  </si>
  <si>
    <t xml:space="preserve">Signet Electronic Systems</t>
  </si>
  <si>
    <t xml:space="preserve">Low voltage systems integrator</t>
  </si>
  <si>
    <t xml:space="preserve">90 Longwater Dr</t>
  </si>
  <si>
    <t xml:space="preserve">(781) 871-5888</t>
  </si>
  <si>
    <t xml:space="preserve">William Ainslie (Healthcare Systems Engineer)</t>
  </si>
  <si>
    <t xml:space="preserve">Brad Caron (President)</t>
  </si>
  <si>
    <t xml:space="preserve">Integrator, now Pavion owned. Treat as partner or referral source more than prospect.</t>
  </si>
  <si>
    <t xml:space="preserve">Pavion</t>
  </si>
  <si>
    <t xml:space="preserve">signetgroup.net</t>
  </si>
  <si>
    <t xml:space="preserve">They install AV, security and nurse call. Complementary, not competing. Coffee meeting target.</t>
  </si>
  <si>
    <t xml:space="preserve">N2 Norwell Rt53/QueenAnne's</t>
  </si>
  <si>
    <t xml:space="preserve">South Shore Skin Center</t>
  </si>
  <si>
    <t xml:space="preserve">Dermatology practice and med spa</t>
  </si>
  <si>
    <t xml:space="preserve">75 Washington St, Ste 1</t>
  </si>
  <si>
    <t xml:space="preserve">(781) 878-6495</t>
  </si>
  <si>
    <t xml:space="preserve">EHR uptime and HIPAA. Lead with a HIPAA security risk assessment, which insurers now expect.</t>
  </si>
  <si>
    <t xml:space="preserve">southshoreskincenter.com</t>
  </si>
  <si>
    <t xml:space="preserve">Multi provider practice. Visit mid afternoon, never during morning patient rush.</t>
  </si>
  <si>
    <t xml:space="preserve">Jack Conway &amp; Co.</t>
  </si>
  <si>
    <t xml:space="preserve">Real estate brokerage, HQ</t>
  </si>
  <si>
    <t xml:space="preserve">137 Washington St</t>
  </si>
  <si>
    <t xml:space="preserve">(888) 735-3574</t>
  </si>
  <si>
    <t xml:space="preserve">Al Becker (Real Estate President &amp; Chief Operating Officer &amp; Agent)</t>
  </si>
  <si>
    <t xml:space="preserve">22 offices and hundreds of agents on shared systems. Lead with help desk and branch support.</t>
  </si>
  <si>
    <t xml:space="preserve">jackconway.com</t>
  </si>
  <si>
    <t xml:space="preserve">Employee figure includes agents. Corporate staff here is much smaller.</t>
  </si>
  <si>
    <t xml:space="preserve">Southwood at Norwell Nursing Center</t>
  </si>
  <si>
    <t xml:space="preserve">Skilled nursing facility</t>
  </si>
  <si>
    <t xml:space="preserve">501 Cordwainer Dr</t>
  </si>
  <si>
    <t xml:space="preserve">(781) 982-7450</t>
  </si>
  <si>
    <t xml:space="preserve">EHR, nurse call and HIPAA on a 24x7 clock. Lead with reliable support and security.</t>
  </si>
  <si>
    <t xml:space="preserve">southwoodatnorwell.com</t>
  </si>
  <si>
    <t xml:space="preserve">Visit administrator midweek, mid morning.</t>
  </si>
  <si>
    <t xml:space="preserve">Proven Behavior Solutions</t>
  </si>
  <si>
    <t xml:space="preserve">ABA therapy centers</t>
  </si>
  <si>
    <t xml:space="preserve">80 Washington St, Ste Q57</t>
  </si>
  <si>
    <t xml:space="preserve">(781) 290-3886</t>
  </si>
  <si>
    <t xml:space="preserve">Kyle Bray (President &amp; Chief Operating Officer)</t>
  </si>
  <si>
    <t xml:space="preserve">Growing multi site ABA group. Lead with HIPAA, MDM and opening new sites fast.</t>
  </si>
  <si>
    <t xml:space="preserve">provenaba.com</t>
  </si>
  <si>
    <t xml:space="preserve">Queen Anne's Corner plaza. Three targets share the 80 Washington St complex.</t>
  </si>
  <si>
    <t xml:space="preserve">South Shore Autism Center</t>
  </si>
  <si>
    <t xml:space="preserve">45 Pond St</t>
  </si>
  <si>
    <t xml:space="preserve">(781) 421-6182</t>
  </si>
  <si>
    <t xml:space="preserve">Erin McLoughlin (Chief Executive Officer)</t>
  </si>
  <si>
    <t xml:space="preserve">Two growing clinic sites. Lead with HIPAA, Wi-Fi reliability and new hire device turnaround.</t>
  </si>
  <si>
    <t xml:space="preserve">ssautismcenter.com</t>
  </si>
  <si>
    <t xml:space="preserve">LMHS, P.C.</t>
  </si>
  <si>
    <t xml:space="preserve">CPA firm</t>
  </si>
  <si>
    <t xml:space="preserve">80 Washington St, Bldg S</t>
  </si>
  <si>
    <t xml:space="preserve">(781) 878-9111</t>
  </si>
  <si>
    <t xml:space="preserve">Randy Toscano (Director, System and Business Partner)</t>
  </si>
  <si>
    <t xml:space="preserve">FTC Safeguards requires CPA firms to maintain a written security plan. Ask who owns theirs.</t>
  </si>
  <si>
    <t xml:space="preserve">lmhspc.com</t>
  </si>
  <si>
    <t xml:space="preserve">Same plaza as Proven Behavior and Oral Surgery South.</t>
  </si>
  <si>
    <t xml:space="preserve">Oral Surgery South</t>
  </si>
  <si>
    <t xml:space="preserve">Oral and maxillofacial surgery practice</t>
  </si>
  <si>
    <t xml:space="preserve">80 Washington St, Ste N51</t>
  </si>
  <si>
    <t xml:space="preserve">(781) 871-1677</t>
  </si>
  <si>
    <t xml:space="preserve">Tony Rubeiz (Partner)</t>
  </si>
  <si>
    <t xml:space="preserve">Imaging systems and PHI across four sites. Lead with HIPAA and practice uptime.</t>
  </si>
  <si>
    <t xml:space="preserve">oralsurgerysouth.com</t>
  </si>
  <si>
    <t xml:space="preserve">4 locations. Same plaza as LMHS and Proven Behavior.</t>
  </si>
  <si>
    <t xml:space="preserve">Arbour Counseling Services</t>
  </si>
  <si>
    <t xml:space="preserve">Behavioral health clinics</t>
  </si>
  <si>
    <t xml:space="preserve">384 Washington St, Ste 202</t>
  </si>
  <si>
    <t xml:space="preserve">(781) 871-6550</t>
  </si>
  <si>
    <t xml:space="preserve">Jose Torres (IT Specialist &amp; IT Engineer &amp; Senior Manager &amp; Director, ...)</t>
  </si>
  <si>
    <t xml:space="preserve">UHS corporate IT covers them. Skip unless a local contact invites the conversation.</t>
  </si>
  <si>
    <t xml:space="preserve">Universal Health Services</t>
  </si>
  <si>
    <t xml:space="preserve">arbourhealth.com</t>
  </si>
  <si>
    <t xml:space="preserve">Branch of a national system.</t>
  </si>
  <si>
    <t xml:space="preserve">Friendship Home</t>
  </si>
  <si>
    <t xml:space="preserve">Nonprofit respite and disability services</t>
  </si>
  <si>
    <t xml:space="preserve">458 Main St</t>
  </si>
  <si>
    <t xml:space="preserve">(781) 659-8202</t>
  </si>
  <si>
    <t xml:space="preserve">Wilma Goodhue (Co-Founder)</t>
  </si>
  <si>
    <t xml:space="preserve">Lean nonprofit. Lead with right sized support and donor data protection.</t>
  </si>
  <si>
    <t xml:space="preserve">friendshiphome.net</t>
  </si>
  <si>
    <t xml:space="preserve">Dolomite Bio (Blacktrace US)</t>
  </si>
  <si>
    <t xml:space="preserve">Single cell biology instruments, US office</t>
  </si>
  <si>
    <t xml:space="preserve">156 Norwell Ave</t>
  </si>
  <si>
    <t xml:space="preserve">+44 1763 252149</t>
  </si>
  <si>
    <t xml:space="preserve">Life sciences instruments office. Lead with lab IT support for US operations.</t>
  </si>
  <si>
    <t xml:space="preserve">Blacktrace Holdings (UK)</t>
  </si>
  <si>
    <t xml:space="preserve">dolomite-bio.com</t>
  </si>
  <si>
    <t xml:space="preserve">Verify before visiting. US office is small and phone routes to UK.</t>
  </si>
  <si>
    <t xml:space="preserve">AJAX Jets</t>
  </si>
  <si>
    <t xml:space="preserve">Private jet charter</t>
  </si>
  <si>
    <t xml:space="preserve">167 Washington St</t>
  </si>
  <si>
    <t xml:space="preserve">(617) 855-5378</t>
  </si>
  <si>
    <t xml:space="preserve">High net worth client data and scheduling ops. Lead with security and white glove support.</t>
  </si>
  <si>
    <t xml:space="preserve">ajaxjets.com</t>
  </si>
  <si>
    <t xml:space="preserve">H1 Hanover Rt53/139</t>
  </si>
  <si>
    <t xml:space="preserve">Cardinal Cushing Centers</t>
  </si>
  <si>
    <t xml:space="preserve">Special education and disability services nonprofit</t>
  </si>
  <si>
    <t xml:space="preserve">405 Washington St</t>
  </si>
  <si>
    <t xml:space="preserve">Hanover</t>
  </si>
  <si>
    <t xml:space="preserve">(781) 826-6371</t>
  </si>
  <si>
    <t xml:space="preserve">Evan Moniz (Manager, Network)</t>
  </si>
  <si>
    <t xml:space="preserve">Gina Rosas (Chief Operating Officer)</t>
  </si>
  <si>
    <t xml:space="preserve">Student records, HIPAA and FERPA with a lean budget. Lead with co-managed support and security.</t>
  </si>
  <si>
    <t xml:space="preserve">cushingcenters.org</t>
  </si>
  <si>
    <t xml:space="preserve">Large campus on Rt 53. Ask for the business office.</t>
  </si>
  <si>
    <t xml:space="preserve">02339</t>
  </si>
  <si>
    <t xml:space="preserve">Homestead Mortgage</t>
  </si>
  <si>
    <t xml:space="preserve">Mortgage lender</t>
  </si>
  <si>
    <t xml:space="preserve">427 Columbia Rd, Ste 114</t>
  </si>
  <si>
    <t xml:space="preserve">(781) 924-5482</t>
  </si>
  <si>
    <t xml:space="preserve">Kimmie Miller (Owner)</t>
  </si>
  <si>
    <t xml:space="preserve">GLBA safeguards and loan officer laptops everywhere. Lead with compliance and device management.</t>
  </si>
  <si>
    <t xml:space="preserve">myhomesteadmortgage.com</t>
  </si>
  <si>
    <t xml:space="preserve">Same building as Merrill Associates.</t>
  </si>
  <si>
    <t xml:space="preserve">First Resource Management</t>
  </si>
  <si>
    <t xml:space="preserve">Affordable housing property management</t>
  </si>
  <si>
    <t xml:space="preserve">2001 Washington St</t>
  </si>
  <si>
    <t xml:space="preserve">(781) 659-0025</t>
  </si>
  <si>
    <t xml:space="preserve">Gordon Pulsifer (President)</t>
  </si>
  <si>
    <t xml:space="preserve">HUD compliance paperwork and resident data across sites. Lead with secure, supported systems.</t>
  </si>
  <si>
    <t xml:space="preserve">firstresourcecompanies.com</t>
  </si>
  <si>
    <t xml:space="preserve">Across the street from Jannell Ford.</t>
  </si>
  <si>
    <t xml:space="preserve">Wozny/Barbar &amp; Associates</t>
  </si>
  <si>
    <t xml:space="preserve">MEP engineering firm</t>
  </si>
  <si>
    <t xml:space="preserve">1076 Washington St</t>
  </si>
  <si>
    <t xml:space="preserve">(781) 826-4144</t>
  </si>
  <si>
    <t xml:space="preserve">Zbigniew Wozny (President)</t>
  </si>
  <si>
    <t xml:space="preserve">Revit and CAD workstations. Lead with performance, backup and project deadlines.</t>
  </si>
  <si>
    <t xml:space="preserve">wbaengineers.com</t>
  </si>
  <si>
    <t xml:space="preserve">Merrill Associates</t>
  </si>
  <si>
    <t xml:space="preserve">Civil engineering and land surveying</t>
  </si>
  <si>
    <t xml:space="preserve">427 Columbia Rd</t>
  </si>
  <si>
    <t xml:space="preserve">(781) 826-9200</t>
  </si>
  <si>
    <t xml:space="preserve">Robert Merrill (President)</t>
  </si>
  <si>
    <t xml:space="preserve">Survey data and CAD files. Lead with backup and file access speed.</t>
  </si>
  <si>
    <t xml:space="preserve">merrillinc.com</t>
  </si>
  <si>
    <t xml:space="preserve">Same building as Homestead Mortgage. Pair the stops.</t>
  </si>
  <si>
    <t xml:space="preserve">McGee Toyota of Hanover</t>
  </si>
  <si>
    <t xml:space="preserve">Toyota dealership, McGee Automotive Family flagship</t>
  </si>
  <si>
    <t xml:space="preserve">860 Washington St</t>
  </si>
  <si>
    <t xml:space="preserve">(781) 829-0343</t>
  </si>
  <si>
    <t xml:space="preserve">FTC Safeguards Rule applies to dealers. Ask who runs their safeguards program.</t>
  </si>
  <si>
    <t xml:space="preserve">McGee Automotive Family</t>
  </si>
  <si>
    <t xml:space="preserve">mcgeetoyota.com</t>
  </si>
  <si>
    <t xml:space="preserve">Group wide employee count. Group may centralize IT. GM can still open the door.</t>
  </si>
  <si>
    <t xml:space="preserve">Planet Subaru</t>
  </si>
  <si>
    <t xml:space="preserve">Independent Subaru dealership</t>
  </si>
  <si>
    <t xml:space="preserve">596 Washington St</t>
  </si>
  <si>
    <t xml:space="preserve">(781) 826-4444</t>
  </si>
  <si>
    <t xml:space="preserve">Marcel Choiniere (General Manager, Fixed Operations)</t>
  </si>
  <si>
    <t xml:space="preserve">Independent dealer subject to FTC Safeguards. Lead with a safeguards gap review.</t>
  </si>
  <si>
    <t xml:space="preserve">planetsubaru.com</t>
  </si>
  <si>
    <t xml:space="preserve">Independently owned, decision maker on site. Best dealer target on the list.</t>
  </si>
  <si>
    <t xml:space="preserve">Jannell Ford</t>
  </si>
  <si>
    <t xml:space="preserve">Independent Ford dealership</t>
  </si>
  <si>
    <t xml:space="preserve">2000 Washington St</t>
  </si>
  <si>
    <t xml:space="preserve">(781) 982-4500</t>
  </si>
  <si>
    <t xml:space="preserve">Joseph Clapp (Owner)</t>
  </si>
  <si>
    <t xml:space="preserve">Family owned dealer. FTC Safeguards and DMS uptime are the openers.</t>
  </si>
  <si>
    <t xml:space="preserve">jannellford.com</t>
  </si>
  <si>
    <t xml:space="preserve">Employee count understated. Real headcount likely 80 plus.</t>
  </si>
  <si>
    <t xml:space="preserve">H2 West Hanover industrial</t>
  </si>
  <si>
    <t xml:space="preserve">P.A. Landers</t>
  </si>
  <si>
    <t xml:space="preserve">Site development and paving contractor, HQ</t>
  </si>
  <si>
    <t xml:space="preserve">351 Winter St</t>
  </si>
  <si>
    <t xml:space="preserve">(781) 826-8818</t>
  </si>
  <si>
    <t xml:space="preserve">Anthony Emma (Director, Information Technology)</t>
  </si>
  <si>
    <t xml:space="preserve">Joseph Durant (Chief Operating Officer)</t>
  </si>
  <si>
    <t xml:space="preserve">Big contractor, prime wire fraud target. Lead with email security and estimating uptime.</t>
  </si>
  <si>
    <t xml:space="preserve">palanders.com</t>
  </si>
  <si>
    <t xml:space="preserve">One of the biggest private employers based in Hanover.</t>
  </si>
  <si>
    <t xml:space="preserve">Buckley Associates</t>
  </si>
  <si>
    <t xml:space="preserve">HVAC equipment distributor and rep, HQ</t>
  </si>
  <si>
    <t xml:space="preserve">385 King St</t>
  </si>
  <si>
    <t xml:space="preserve">(781) 878-5000</t>
  </si>
  <si>
    <t xml:space="preserve">Devin Melo (Manager, Information Technology)</t>
  </si>
  <si>
    <t xml:space="preserve">Robert Buckley (Founder)</t>
  </si>
  <si>
    <t xml:space="preserve">12 locations and near 100M revenue on one ERP. Lead with uptime, security and branch support.</t>
  </si>
  <si>
    <t xml:space="preserve">buckleyonline.com</t>
  </si>
  <si>
    <t xml:space="preserve">Biggest revenue target in Hanover on this list.</t>
  </si>
  <si>
    <t xml:space="preserve">SRC Medical</t>
  </si>
  <si>
    <t xml:space="preserve">Medical device components manufacturer</t>
  </si>
  <si>
    <t xml:space="preserve">263 Winter St</t>
  </si>
  <si>
    <t xml:space="preserve">(781) 826-9100</t>
  </si>
  <si>
    <t xml:space="preserve">Lisa Raasch (Chief Information Officer)</t>
  </si>
  <si>
    <t xml:space="preserve">Roy Tinkham (President)</t>
  </si>
  <si>
    <t xml:space="preserve">FDA documentation and quality systems. Lead with compliance ready IT and uptime.</t>
  </si>
  <si>
    <t xml:space="preserve">srcmedical.com</t>
  </si>
  <si>
    <t xml:space="preserve">Medical manufacturing is a priority vertical.</t>
  </si>
  <si>
    <t xml:space="preserve">Hapco</t>
  </si>
  <si>
    <t xml:space="preserve">Epoxy and urethane polymer manufacturer</t>
  </si>
  <si>
    <t xml:space="preserve">353 Circuit St</t>
  </si>
  <si>
    <t xml:space="preserve">(781) 826-8801</t>
  </si>
  <si>
    <t xml:space="preserve">Daniel McClelland (System Administrator)</t>
  </si>
  <si>
    <t xml:space="preserve">Fred DeSimone (General Manager)</t>
  </si>
  <si>
    <t xml:space="preserve">Formulations IP and production systems. Lead with security and backup.</t>
  </si>
  <si>
    <t xml:space="preserve">hapcoincorporated.com</t>
  </si>
  <si>
    <t xml:space="preserve">Phone corrected from web. ZoomInfo listed an out of state number.</t>
  </si>
  <si>
    <t xml:space="preserve">Gem Gravure</t>
  </si>
  <si>
    <t xml:space="preserve">Wire marking inks and printing systems, HQ</t>
  </si>
  <si>
    <t xml:space="preserve">112 School St</t>
  </si>
  <si>
    <t xml:space="preserve">(781) 878-0456</t>
  </si>
  <si>
    <t xml:space="preserve">Matt Phung (IT Administrator)</t>
  </si>
  <si>
    <t xml:space="preserve">Joseph Gemelli (Founder)</t>
  </si>
  <si>
    <t xml:space="preserve">Third generation manufacturer with global customers. Lead with security and production uptime.</t>
  </si>
  <si>
    <t xml:space="preserve">gemgravure.com</t>
  </si>
  <si>
    <t xml:space="preserve">West Hanover village, near Circuit St loop.</t>
  </si>
  <si>
    <t xml:space="preserve">Cri-Tech (Daikin)</t>
  </si>
  <si>
    <t xml:space="preserve">Specialty rubber compounds manufacturer</t>
  </si>
  <si>
    <t xml:space="preserve">85 Winter St</t>
  </si>
  <si>
    <t xml:space="preserve">(781) 826-5600</t>
  </si>
  <si>
    <t xml:space="preserve">Richard Park (Manager, Business Systems)</t>
  </si>
  <si>
    <t xml:space="preserve">Daikin owned but locally run plant. Lead with co-managed support for site systems.</t>
  </si>
  <si>
    <t xml:space="preserve">Daikin Industries</t>
  </si>
  <si>
    <t xml:space="preserve">critechinc.com</t>
  </si>
  <si>
    <t xml:space="preserve">Corporate IT may exist at Daikin America. Local plant manager still feels the pain.</t>
  </si>
  <si>
    <t xml:space="preserve">A. Murphy Inc</t>
  </si>
  <si>
    <t xml:space="preserve">Site work and utility contractor</t>
  </si>
  <si>
    <t xml:space="preserve">35 Hanover St</t>
  </si>
  <si>
    <t xml:space="preserve">(781) 826-0222</t>
  </si>
  <si>
    <t xml:space="preserve">Michael Murphy (Owner and Operator)</t>
  </si>
  <si>
    <t xml:space="preserve">Field crews and office estimating. Lead with email fraud protection and file backup.</t>
  </si>
  <si>
    <t xml:space="preserve">amurphy.com</t>
  </si>
  <si>
    <t xml:space="preserve">Eyesaver International</t>
  </si>
  <si>
    <t xml:space="preserve">Safety eyewear manufacturer</t>
  </si>
  <si>
    <t xml:space="preserve">348 Circuit St, Ste 2</t>
  </si>
  <si>
    <t xml:space="preserve">(781) 829-0808</t>
  </si>
  <si>
    <t xml:space="preserve">Stephen George (President)</t>
  </si>
  <si>
    <t xml:space="preserve">Product and order systems. Lead with M365 and endpoint management.</t>
  </si>
  <si>
    <t xml:space="preserve">eyesaverinternational.com</t>
  </si>
  <si>
    <t xml:space="preserve">Same building as Sturtevant. Pair the stops.</t>
  </si>
  <si>
    <t xml:space="preserve">Sturtevant</t>
  </si>
  <si>
    <t xml:space="preserve">Micronizing and powder processing equipment</t>
  </si>
  <si>
    <t xml:space="preserve">348 Circuit St, Ste 1</t>
  </si>
  <si>
    <t xml:space="preserve">(781) 829-6501</t>
  </si>
  <si>
    <t xml:space="preserve">Sturt English (President &amp; Chief Executive Officer)</t>
  </si>
  <si>
    <t xml:space="preserve">140 year old machine builder. Lead with modernizing office IT without disrupting the shop.</t>
  </si>
  <si>
    <t xml:space="preserve">sturtevantinc.com</t>
  </si>
  <si>
    <t xml:space="preserve">Same building as Eyesaver International.</t>
  </si>
  <si>
    <t xml:space="preserve">Lubrite Technologies</t>
  </si>
  <si>
    <t xml:space="preserve">Self lubricating bearings manufacturer</t>
  </si>
  <si>
    <t xml:space="preserve">145 Webster St, Ste J</t>
  </si>
  <si>
    <t xml:space="preserve">(781) 871-1420</t>
  </si>
  <si>
    <t xml:space="preserve">Engineering drawings and customer specs. Lead with backup and secure file sharing.</t>
  </si>
  <si>
    <t xml:space="preserve">lubritetechnologies.com</t>
  </si>
  <si>
    <t xml:space="preserve">South Shore YMCA (Emilson Branch / Admin)</t>
  </si>
  <si>
    <t xml:space="preserve">Nonprofit YMCA association</t>
  </si>
  <si>
    <t xml:space="preserve">75 Mill St</t>
  </si>
  <si>
    <t xml:space="preserve">(781) 829-8585</t>
  </si>
  <si>
    <t xml:space="preserve">Multi branch nonprofit with member data and childcare compliance. Lead with co-managed support.</t>
  </si>
  <si>
    <t xml:space="preserve">ssymca.org</t>
  </si>
  <si>
    <t xml:space="preserve">Employee count spans all branches and seasonal camp staff.</t>
  </si>
  <si>
    <t xml:space="preserve">Hingham Moving Services</t>
  </si>
  <si>
    <t xml:space="preserve">Moving and storage company</t>
  </si>
  <si>
    <t xml:space="preserve">285 Circuit St</t>
  </si>
  <si>
    <t xml:space="preserve">(617) 319-7027</t>
  </si>
  <si>
    <t xml:space="preserve">Scheduling, dispatch and customer data. Lead with simple reliable IT and phones.</t>
  </si>
  <si>
    <t xml:space="preserve">hinghammoving.com</t>
  </si>
  <si>
    <t xml:space="preserve">Burgopak USA</t>
  </si>
  <si>
    <t xml:space="preserve">Packaging design firm, US office</t>
  </si>
  <si>
    <t xml:space="preserve">24 Rockland St, Ste 5</t>
  </si>
  <si>
    <t xml:space="preserve">+44 20 7089 1950</t>
  </si>
  <si>
    <t xml:space="preserve">Small US office of a UK firm. Lead with being their local IT presence.</t>
  </si>
  <si>
    <t xml:space="preserve">Burgopak (UK)</t>
  </si>
  <si>
    <t xml:space="preserve">burgopak.com</t>
  </si>
  <si>
    <t xml:space="preserve">Verify before visiting. Phone routes to UK.</t>
  </si>
  <si>
    <t xml:space="preserve">P1 Pembroke corporate parks</t>
  </si>
  <si>
    <t xml:space="preserve">Royal Health Group</t>
  </si>
  <si>
    <t xml:space="preserve">Family owned nursing home group, HQ</t>
  </si>
  <si>
    <t xml:space="preserve">42 Winter St</t>
  </si>
  <si>
    <t xml:space="preserve">Pembroke</t>
  </si>
  <si>
    <t xml:space="preserve">(781) 826-2393</t>
  </si>
  <si>
    <t xml:space="preserve">Jimmy Noel (Manager, Information Technology)</t>
  </si>
  <si>
    <t xml:space="preserve">Pamela Jones (Chief Financial Officer)</t>
  </si>
  <si>
    <t xml:space="preserve">12 facilities of EHR, nurse call and HIPAA. Lead with multi site support and security.</t>
  </si>
  <si>
    <t xml:space="preserve">royalhealthgroup.com</t>
  </si>
  <si>
    <t xml:space="preserve">HQ decides for all facilities. Employee count spans the group.</t>
  </si>
  <si>
    <t xml:space="preserve">02359</t>
  </si>
  <si>
    <t xml:space="preserve">FMC Ice Sports</t>
  </si>
  <si>
    <t xml:space="preserve">Ice rink management company, HQ</t>
  </si>
  <si>
    <t xml:space="preserve">100 Schoosett St, Bldg 3</t>
  </si>
  <si>
    <t xml:space="preserve">(888) 747-5283</t>
  </si>
  <si>
    <t xml:space="preserve">25 rinks on POS, scheduling and payment systems. Lead with multi site support and uptime.</t>
  </si>
  <si>
    <t xml:space="preserve">fmcicesports.com</t>
  </si>
  <si>
    <t xml:space="preserve">HQ office decides for all sites. Strong multi site play.</t>
  </si>
  <si>
    <t xml:space="preserve">Thayer Scale</t>
  </si>
  <si>
    <t xml:space="preserve">Industrial weighing and feeding equipment, HQ</t>
  </si>
  <si>
    <t xml:space="preserve">91 Schoosett St</t>
  </si>
  <si>
    <t xml:space="preserve">(855) 784-2937</t>
  </si>
  <si>
    <t xml:space="preserve">Chris Geer (Information Technology Consultant)</t>
  </si>
  <si>
    <t xml:space="preserve">Frank Hyer (Chairman &amp; Chief Executive Officer)</t>
  </si>
  <si>
    <t xml:space="preserve">Engineering IP and global customers. Lead with security, backup and shop floor uptime.</t>
  </si>
  <si>
    <t xml:space="preserve">thayerscale.com</t>
  </si>
  <si>
    <t xml:space="preserve">Classic ICP manufacturer.</t>
  </si>
  <si>
    <t xml:space="preserve">Nelco Products</t>
  </si>
  <si>
    <t xml:space="preserve">Cable ties and wire management, distribution HQ</t>
  </si>
  <si>
    <t xml:space="preserve">22 Riverside Dr</t>
  </si>
  <si>
    <t xml:space="preserve">(800) 346-3526</t>
  </si>
  <si>
    <t xml:space="preserve">Patrick Wong (Director, Information Technology &amp; Materials)</t>
  </si>
  <si>
    <t xml:space="preserve">Miriam Nelson (Owner)</t>
  </si>
  <si>
    <t xml:space="preserve">E-commerce and warehouse ops. Lead with uptime, EDI reliability and security.</t>
  </si>
  <si>
    <t xml:space="preserve">nelcoproducts.com</t>
  </si>
  <si>
    <t xml:space="preserve">New England Village</t>
  </si>
  <si>
    <t xml:space="preserve">Nonprofit for adults with disabilities</t>
  </si>
  <si>
    <t xml:space="preserve">664 School St</t>
  </si>
  <si>
    <t xml:space="preserve">(781) 293-5461</t>
  </si>
  <si>
    <t xml:space="preserve">Tim McKinney (Manager, Information Technology)</t>
  </si>
  <si>
    <t xml:space="preserve">Christine Chagnon (President &amp; Chief Executive Officer)</t>
  </si>
  <si>
    <t xml:space="preserve">Resident records and lean budgets. Lead with right sized managed IT and HIPAA.</t>
  </si>
  <si>
    <t xml:space="preserve">newenglandvillage.org</t>
  </si>
  <si>
    <t xml:space="preserve">Preferred Mechanical Services</t>
  </si>
  <si>
    <t xml:space="preserve">Mechanical contractor</t>
  </si>
  <si>
    <t xml:space="preserve">223 Center St</t>
  </si>
  <si>
    <t xml:space="preserve">(781) 293-1200</t>
  </si>
  <si>
    <t xml:space="preserve">Jennifer Meade (Founder)</t>
  </si>
  <si>
    <t xml:space="preserve">Field techs and service contracts. Lead with dependable help desk and dispatch uptime.</t>
  </si>
  <si>
    <t xml:space="preserve">preferredmechanicalservices.com</t>
  </si>
  <si>
    <t xml:space="preserve">Your Electrical Solution</t>
  </si>
  <si>
    <t xml:space="preserve">Electrical contractor</t>
  </si>
  <si>
    <t xml:space="preserve">345 Washington St</t>
  </si>
  <si>
    <t xml:space="preserve">(781) 331-3500</t>
  </si>
  <si>
    <t xml:space="preserve">Peter Ockerbloom (Telecom Systems Technician)</t>
  </si>
  <si>
    <t xml:space="preserve">Bruce Sylvester (Owner)</t>
  </si>
  <si>
    <t xml:space="preserve">Growing contractor. Lead with email fraud protection and field device support.</t>
  </si>
  <si>
    <t xml:space="preserve">yourelectricalsolutions.com</t>
  </si>
  <si>
    <t xml:space="preserve">Revenue Solutions (RSI)</t>
  </si>
  <si>
    <t xml:space="preserve">Government tax software company</t>
  </si>
  <si>
    <t xml:space="preserve">42 Winter St, Ste 36</t>
  </si>
  <si>
    <t xml:space="preserve">(781) 826-1546</t>
  </si>
  <si>
    <t xml:space="preserve">Jonathan Epstein (Director, Information Technology)</t>
  </si>
  <si>
    <t xml:space="preserve">Blake Ramsey (President)</t>
  </si>
  <si>
    <t xml:space="preserve">Software firm with government clients and audits. Lead with co-managed security and helpdesk.</t>
  </si>
  <si>
    <t xml:space="preserve">rsidelivers.com</t>
  </si>
  <si>
    <t xml:space="preserve">Same complex as Royal Health Group. Pair the stops.</t>
  </si>
  <si>
    <t xml:space="preserve">Acella Construction</t>
  </si>
  <si>
    <t xml:space="preserve">Commercial general contractor</t>
  </si>
  <si>
    <t xml:space="preserve">38 Washington St</t>
  </si>
  <si>
    <t xml:space="preserve">(781) 681-9240</t>
  </si>
  <si>
    <t xml:space="preserve">Saul Schrader (President)</t>
  </si>
  <si>
    <t xml:space="preserve">50M GC with project data everywhere. Lead with email fraud protection and Procore uptime.</t>
  </si>
  <si>
    <t xml:space="preserve">acellaconstruction.com</t>
  </si>
  <si>
    <t xml:space="preserve">Builds for healthcare and schools locally. Referral rich.</t>
  </si>
  <si>
    <t xml:space="preserve">Ritchie Navigation</t>
  </si>
  <si>
    <t xml:space="preserve">Marine compass manufacturer since 1850</t>
  </si>
  <si>
    <t xml:space="preserve">243 Oak St</t>
  </si>
  <si>
    <t xml:space="preserve">(781) 826-5131</t>
  </si>
  <si>
    <t xml:space="preserve">Jonathan Sherman (President)</t>
  </si>
  <si>
    <t xml:space="preserve">Storied manufacturer. Lead with modern security wrapped around legacy systems.</t>
  </si>
  <si>
    <t xml:space="preserve">ritchienavigation.com</t>
  </si>
  <si>
    <t xml:space="preserve">America's oldest compass maker. Great conversation starter.</t>
  </si>
  <si>
    <t xml:space="preserve">Protectowire FireSystems</t>
  </si>
  <si>
    <t xml:space="preserve">Linear heat detection manufacturer, HQ</t>
  </si>
  <si>
    <t xml:space="preserve">60 Washington St</t>
  </si>
  <si>
    <t xml:space="preserve">(781) 826-3878</t>
  </si>
  <si>
    <t xml:space="preserve">Michael Hall (System Engineer)</t>
  </si>
  <si>
    <t xml:space="preserve">Gerald Holmes (Founder)</t>
  </si>
  <si>
    <t xml:space="preserve">Global OEM with engineering IP. Lead with security and dependable office IT.</t>
  </si>
  <si>
    <t xml:space="preserve">protectowire.com</t>
  </si>
  <si>
    <t xml:space="preserve">FCI Ophthalmics</t>
  </si>
  <si>
    <t xml:space="preserve">Ophthalmic surgical devices, US office</t>
  </si>
  <si>
    <t xml:space="preserve">30 Corporate Park Dr, Ste 310</t>
  </si>
  <si>
    <t xml:space="preserve">(800) 932-4202</t>
  </si>
  <si>
    <t xml:space="preserve">FDA regulated device distribution. Lead with compliance ready IT for a lean office.</t>
  </si>
  <si>
    <t xml:space="preserve">FCI (France)</t>
  </si>
  <si>
    <t xml:space="preserve">fci-ophthalmics.com</t>
  </si>
  <si>
    <t xml:space="preserve">Entegee / The Engineering Department</t>
  </si>
  <si>
    <t xml:space="preserve">Engineering staffing, national HQ (Adecco Group)</t>
  </si>
  <si>
    <t xml:space="preserve">33 Riverside Dr</t>
  </si>
  <si>
    <t xml:space="preserve">(877) 606-8765</t>
  </si>
  <si>
    <t xml:space="preserve">Adecco corporate IT covers them. Networking value with branch leadership only.</t>
  </si>
  <si>
    <t xml:space="preserve">Adecco Group</t>
  </si>
  <si>
    <t xml:space="preserve">entegee.com</t>
  </si>
  <si>
    <t xml:space="preserve">The Engineering Department brand shares this building.</t>
  </si>
  <si>
    <t xml:space="preserve">Horner Millwork</t>
  </si>
  <si>
    <t xml:space="preserve">Millwork and building products, Pembroke branch</t>
  </si>
  <si>
    <t xml:space="preserve">55 Corporate Park Dr, Ste 1</t>
  </si>
  <si>
    <t xml:space="preserve">(781) 826-7770</t>
  </si>
  <si>
    <t xml:space="preserve">Branch of Somerset HQ company. Local relationship can open the corporate door.</t>
  </si>
  <si>
    <t xml:space="preserve">North Atlantic Corp</t>
  </si>
  <si>
    <t xml:space="preserve">hornermillwork.com</t>
  </si>
  <si>
    <t xml:space="preserve">IT likely decided at North Atlantic Corp.</t>
  </si>
  <si>
    <t xml:space="preserve">Markings Inc</t>
  </si>
  <si>
    <t xml:space="preserve">Pavement marking contractor</t>
  </si>
  <si>
    <t xml:space="preserve">30 Riverside Dr</t>
  </si>
  <si>
    <t xml:space="preserve">(781) 826-5171</t>
  </si>
  <si>
    <t xml:space="preserve">Monique Souza (Owner)</t>
  </si>
  <si>
    <t xml:space="preserve">Seasonal field crews and bids. Lead with simple managed IT and email security.</t>
  </si>
  <si>
    <t xml:space="preserve">markingsinc.com</t>
  </si>
  <si>
    <t xml:space="preserve">Peak Mechanical Services</t>
  </si>
  <si>
    <t xml:space="preserve">Commercial HVAC and plumbing contractor</t>
  </si>
  <si>
    <t xml:space="preserve">35 Corporate Park Dr, Ste 2</t>
  </si>
  <si>
    <t xml:space="preserve">(781) 924-5982</t>
  </si>
  <si>
    <t xml:space="preserve">Mario DiMartino (President)</t>
  </si>
  <si>
    <t xml:space="preserve">Dispatch and service software. Lead with help desk for field techs.</t>
  </si>
  <si>
    <t xml:space="preserve">peakmechanicalservices.com</t>
  </si>
  <si>
    <t xml:space="preserve">Charm Medical Supply</t>
  </si>
  <si>
    <t xml:space="preserve">Home medical supplies (DME)</t>
  </si>
  <si>
    <t xml:space="preserve">33 Riverside Dr, Ste 200</t>
  </si>
  <si>
    <t xml:space="preserve">(781) 829-9813</t>
  </si>
  <si>
    <t xml:space="preserve">Wayne Saville (Chief Financial Officer)</t>
  </si>
  <si>
    <t xml:space="preserve">Medicaid billing and PHI. Lead with HIPAA and dependable order systems.</t>
  </si>
  <si>
    <t xml:space="preserve">charmmedical.com</t>
  </si>
  <si>
    <t xml:space="preserve">Same building as Entegee.</t>
  </si>
  <si>
    <t xml:space="preserve">Cadete Enterprises</t>
  </si>
  <si>
    <t xml:space="preserve">Multi unit Dunkin' franchisee office</t>
  </si>
  <si>
    <t xml:space="preserve">12 Riverside Dr</t>
  </si>
  <si>
    <t xml:space="preserve">(781) 829-1156</t>
  </si>
  <si>
    <t xml:space="preserve">Eric Eskander (Chief Executive Officer)</t>
  </si>
  <si>
    <t xml:space="preserve">Dozens of stores on POS and payroll systems. Lead with store uptime and PCI basics.</t>
  </si>
  <si>
    <t xml:space="preserve">cadeteenterprises.com</t>
  </si>
  <si>
    <t xml:space="preserve">Office staff small. Store count is the real footprint.</t>
  </si>
  <si>
    <t xml:space="preserve">JLC Tech</t>
  </si>
  <si>
    <t xml:space="preserve">Architectural LED lighting manufacturer</t>
  </si>
  <si>
    <t xml:space="preserve">370 Corporate Park Dr</t>
  </si>
  <si>
    <t xml:space="preserve">(781) 826-8162</t>
  </si>
  <si>
    <t xml:space="preserve">Mia Antonia (Principal Partner - Chief Financial Officer)</t>
  </si>
  <si>
    <t xml:space="preserve">Design files and order systems. Lead with backup and M365 security.</t>
  </si>
  <si>
    <t xml:space="preserve">jlc-tech.com</t>
  </si>
  <si>
    <t xml:space="preserve">W1 Whitman/Abington/Hanson</t>
  </si>
  <si>
    <t xml:space="preserve">T&amp;K Asphalt Services</t>
  </si>
  <si>
    <t xml:space="preserve">Commercial paving contractor, HQ</t>
  </si>
  <si>
    <t xml:space="preserve">7 Industrial Way</t>
  </si>
  <si>
    <t xml:space="preserve">Whitman</t>
  </si>
  <si>
    <t xml:space="preserve">(781) 826-3138</t>
  </si>
  <si>
    <t xml:space="preserve">Peter Cleary (Chief Financial Officer)</t>
  </si>
  <si>
    <t xml:space="preserve">80M contractor and a top wire fraud target. Lead with email security and estimating uptime.</t>
  </si>
  <si>
    <t xml:space="preserve">tkasphalt.com</t>
  </si>
  <si>
    <t xml:space="preserve">One of the largest paving firms in New England.</t>
  </si>
  <si>
    <t xml:space="preserve">02382</t>
  </si>
  <si>
    <t xml:space="preserve">Cape Cod Lumber</t>
  </si>
  <si>
    <t xml:space="preserve">Independent lumber yard and building products</t>
  </si>
  <si>
    <t xml:space="preserve">225 Groveland St</t>
  </si>
  <si>
    <t xml:space="preserve">Abington</t>
  </si>
  <si>
    <t xml:space="preserve">(781) 878-0715</t>
  </si>
  <si>
    <t xml:space="preserve">Thomas McManus (President)</t>
  </si>
  <si>
    <t xml:space="preserve">POS, inventory and delivery ops on one system. Lead with uptime and ransomware defense.</t>
  </si>
  <si>
    <t xml:space="preserve">capecodlumber.com</t>
  </si>
  <si>
    <t xml:space="preserve">Family owned. Decision makers on site.</t>
  </si>
  <si>
    <t xml:space="preserve">02351</t>
  </si>
  <si>
    <t xml:space="preserve">Southeastern ABA</t>
  </si>
  <si>
    <t xml:space="preserve">116 Helen Dr</t>
  </si>
  <si>
    <t xml:space="preserve">Hanson</t>
  </si>
  <si>
    <t xml:space="preserve">(781) 924-1408</t>
  </si>
  <si>
    <t xml:space="preserve">Fast growing therapy group. Lead with HIPAA, MDM and clinician onboarding speed.</t>
  </si>
  <si>
    <t xml:space="preserve">southeasternaba.com</t>
  </si>
  <si>
    <t xml:space="preserve">02341</t>
  </si>
  <si>
    <t xml:space="preserve">Sullivan's Inc</t>
  </si>
  <si>
    <t xml:space="preserve">Powersports accessories wholesale distributor</t>
  </si>
  <si>
    <t xml:space="preserve">121 Franklin St</t>
  </si>
  <si>
    <t xml:space="preserve">(781) 293-9711</t>
  </si>
  <si>
    <t xml:space="preserve">Bobby Sullivan (Owner and Operator)</t>
  </si>
  <si>
    <t xml:space="preserve">National distribution on EDI and warehouse systems. Lead with uptime and security.</t>
  </si>
  <si>
    <t xml:space="preserve">sullivansusa.com</t>
  </si>
  <si>
    <t xml:space="preserve">Family owned since 1948 era roots. Verified via web.</t>
  </si>
  <si>
    <t xml:space="preserve">Seoane Landscape Design</t>
  </si>
  <si>
    <t xml:space="preserve">Commercial landscape design and construction</t>
  </si>
  <si>
    <t xml:space="preserve">551 Bedford St</t>
  </si>
  <si>
    <t xml:space="preserve">(781) 878-1306</t>
  </si>
  <si>
    <t xml:space="preserve">Louis Seoane (President, Operations &amp; Sales)</t>
  </si>
  <si>
    <t xml:space="preserve">Crews, scheduling and billing. Lead with simple managed IT that keeps trucks rolling.</t>
  </si>
  <si>
    <t xml:space="preserve">seoanelandscape.com</t>
  </si>
  <si>
    <t xml:space="preserve">Whitman Company</t>
  </si>
  <si>
    <t xml:space="preserve">Metal finishing and plating</t>
  </si>
  <si>
    <t xml:space="preserve">356 South Ave</t>
  </si>
  <si>
    <t xml:space="preserve">(781) 447-2422</t>
  </si>
  <si>
    <t xml:space="preserve">William Whitman (President)</t>
  </si>
  <si>
    <t xml:space="preserve">Plating lines and quality certs. Lead with production uptime and simple secure IT.</t>
  </si>
  <si>
    <t xml:space="preserve">whitman-company.com</t>
  </si>
  <si>
    <t xml:space="preserve">Address confirmed via web. ZoomInfo listing was incomplete.</t>
  </si>
  <si>
    <t xml:space="preserve">Defense Investigators Group</t>
  </si>
  <si>
    <t xml:space="preserve">Insurance defense investigations</t>
  </si>
  <si>
    <t xml:space="preserve">PO Box 119 (call ahead)</t>
  </si>
  <si>
    <t xml:space="preserve">(800) 233-0417</t>
  </si>
  <si>
    <t xml:space="preserve">Don Anderson (Owner)</t>
  </si>
  <si>
    <t xml:space="preserve">Sensitive case files and field investigators. Lead with security and secure remote access.</t>
  </si>
  <si>
    <t xml:space="preserve">defenseinvestigatorsgroup.com</t>
  </si>
  <si>
    <t xml:space="preserve">Street address not published. Call before attempting a visit.</t>
  </si>
  <si>
    <t xml:space="preserve">Walsh Mechanical Contractors</t>
  </si>
  <si>
    <t xml:space="preserve">Mechanical contractor since 1918</t>
  </si>
  <si>
    <t xml:space="preserve">380 North Ave</t>
  </si>
  <si>
    <t xml:space="preserve">(781) 871-7496</t>
  </si>
  <si>
    <t xml:space="preserve">Century old contractor. Lead with email fraud protection and dependable office IT.</t>
  </si>
  <si>
    <t xml:space="preserve">walshmechanical.com</t>
  </si>
  <si>
    <t xml:space="preserve">Webster Printing</t>
  </si>
  <si>
    <t xml:space="preserve">Commercial printing</t>
  </si>
  <si>
    <t xml:space="preserve">1069 W Washington St</t>
  </si>
  <si>
    <t xml:space="preserve">(781) 447-5484</t>
  </si>
  <si>
    <t xml:space="preserve">Ernest Foster (President &amp; Chief Executive Officer)</t>
  </si>
  <si>
    <t xml:space="preserve">Prepress files and tight deadlines. Lead with backup and workstation reliability.</t>
  </si>
  <si>
    <t xml:space="preserve">websterprinting.com</t>
  </si>
  <si>
    <t xml:space="preserve">Whitman Tool &amp; Die</t>
  </si>
  <si>
    <t xml:space="preserve">Metal stamping and tooling</t>
  </si>
  <si>
    <t xml:space="preserve">72 Raynor Ave</t>
  </si>
  <si>
    <t xml:space="preserve">(781) 447-0421</t>
  </si>
  <si>
    <t xml:space="preserve">Peter Werthen (Buyer &amp; Owner)</t>
  </si>
  <si>
    <t xml:space="preserve">Job shop with CAD and CNC systems. Ask about CMMC if they touch defense work.</t>
  </si>
  <si>
    <t xml:space="preserve">whitmantoolanddie.com</t>
  </si>
  <si>
    <t xml:space="preserve">President Titanium</t>
  </si>
  <si>
    <t xml:space="preserve">Titanium bar and alloy stock distributor</t>
  </si>
  <si>
    <t xml:space="preserve">243 Franklin St</t>
  </si>
  <si>
    <t xml:space="preserve">(781) 294-0000</t>
  </si>
  <si>
    <t xml:space="preserve">Shawn MacLeod (President)</t>
  </si>
  <si>
    <t xml:space="preserve">Aerospace customers mean traceability. Ask about CMMC and quality system uptime.</t>
  </si>
  <si>
    <t xml:space="preserve">presidenttitanium.com</t>
  </si>
  <si>
    <t xml:space="preserve">Near Sullivan's on Franklin St. Pair the stops.</t>
  </si>
  <si>
    <t xml:space="preserve">Clean Systems of America</t>
  </si>
  <si>
    <t xml:space="preserve">Commercial cleaning company</t>
  </si>
  <si>
    <t xml:space="preserve">162 Industrial Blvd, Ste 4</t>
  </si>
  <si>
    <t xml:space="preserve">(781) 447-5885</t>
  </si>
  <si>
    <t xml:space="preserve">Robert Melchionno (President)</t>
  </si>
  <si>
    <t xml:space="preserve">Big field workforce, small office. Lead with simple managed IT and payroll system uptime.</t>
  </si>
  <si>
    <t xml:space="preserve">clean-systems.com</t>
  </si>
  <si>
    <t xml:space="preserve">Employee count is mostly field cleaning staff.</t>
  </si>
  <si>
    <t xml:space="preserve">Angels Healthcare Companies</t>
  </si>
  <si>
    <t xml:space="preserve">Home health services</t>
  </si>
  <si>
    <t xml:space="preserve">536 Washington St</t>
  </si>
  <si>
    <t xml:space="preserve">(781) 871-3773</t>
  </si>
  <si>
    <t xml:space="preserve">Mazen Eneyni (President)</t>
  </si>
  <si>
    <t xml:space="preserve">PHI on caregiver devices. Lead with HIPAA basics and affordable managed IT.</t>
  </si>
  <si>
    <t xml:space="preserve">angelshealthcare.com</t>
  </si>
  <si>
    <t xml:space="preserve">X1 Nearby, verify first</t>
  </si>
  <si>
    <t xml:space="preserve">Bay State Physical Therapy</t>
  </si>
  <si>
    <t xml:space="preserve">Physical therapy group, 60+ clinics, HQ</t>
  </si>
  <si>
    <t xml:space="preserve">703 Granite St, Ste 300</t>
  </si>
  <si>
    <t xml:space="preserve">Braintree</t>
  </si>
  <si>
    <t xml:space="preserve">(781) 878-5550</t>
  </si>
  <si>
    <t xml:space="preserve">Jon Dibiasio (Vice President, Information Technology)</t>
  </si>
  <si>
    <t xml:space="preserve">Vladimir Shursky (Owner)</t>
  </si>
  <si>
    <t xml:space="preserve">Dozens of clinics on shared EHR. Lead with multi site support, HIPAA and clinic openings.</t>
  </si>
  <si>
    <t xml:space="preserve">baystatept.com</t>
  </si>
  <si>
    <t xml:space="preserve">HQ moved to Braintree. ZoomInfo still lists 360 Brockton Ave, Abington. 15 min from Rockland.</t>
  </si>
  <si>
    <t xml:space="preserve">02184</t>
  </si>
  <si>
    <t xml:space="preserve">Drive routes</t>
  </si>
  <si>
    <t xml:space="preserve">Each route is a half day: 8 to 12 stops, one geography, no backtracking. Filter the Target List by the Route column, print it, go.</t>
  </si>
  <si>
    <t xml:space="preserve">Code</t>
  </si>
  <si>
    <t xml:space="preserve">Stops</t>
  </si>
  <si>
    <t xml:space="preserve">How to work it</t>
  </si>
  <si>
    <t xml:space="preserve">R1</t>
  </si>
  <si>
    <t xml:space="preserve">Rockland: Exit 14 corridor (Hingham St, Ledgewood Pl, Reservoir Park)</t>
  </si>
  <si>
    <t xml:space="preserve">One exit, one loop. Start at Cutter, work the Ledgewood Pl buildings (three targets share them), end at FINTRX. EMD Serono is a drive-by; do not cold walk past security.</t>
  </si>
  <si>
    <t xml:space="preserve">R2</t>
  </si>
  <si>
    <t xml:space="preserve">Rockland: Weymouth St / VFW Dr industrial + Union St center</t>
  </si>
  <si>
    <t xml:space="preserve">Best density on the list. Industrial loop first (Weymouth St, Commerce Rd, Rockview Way pairs), then Union St for the credit union. Morning route.</t>
  </si>
  <si>
    <t xml:space="preserve">N1</t>
  </si>
  <si>
    <t xml:space="preserve">Norwell: Accord Park &amp; Longwater Dr (Assinippi)</t>
  </si>
  <si>
    <t xml:space="preserve">Two connected office parks, walkable pairs everywhere. 600 Longwater alone holds Radius and Miniter. Zildjian and Snow &amp; Jones anchor it.</t>
  </si>
  <si>
    <t xml:space="preserve">N2</t>
  </si>
  <si>
    <t xml:space="preserve">Norwell: Rt 53 &amp; Queen Anne's Corner (Washington St, Pond St)</t>
  </si>
  <si>
    <t xml:space="preserve">Straight run down Rt 53. The 80 Washington St plaza holds three targets in one parking lot. Afternoon route, clinics after 1:30.</t>
  </si>
  <si>
    <t xml:space="preserve">H1</t>
  </si>
  <si>
    <t xml:space="preserve">Hanover: Rt 53 &amp; Rt 139 (Washington St, Columbia Rd)</t>
  </si>
  <si>
    <t xml:space="preserve">Dealer row plus Cardinal Cushing campus. Jannell Ford and First Resource face each other; Homestead and Merrill share 427 Columbia Rd.</t>
  </si>
  <si>
    <t xml:space="preserve">H2</t>
  </si>
  <si>
    <t xml:space="preserve">West Hanover industrial (Winter St, Circuit St, King St)</t>
  </si>
  <si>
    <t xml:space="preserve">Manufacturer heavy, go in the morning. Winter St first (Landers, SRC, Cri-Tech), then the Circuit St loop where Sturtevant and Eyesaver share a building.</t>
  </si>
  <si>
    <t xml:space="preserve">P1</t>
  </si>
  <si>
    <t xml:space="preserve">Pembroke: Corporate Park, Riverside Dr, Schoosett St (Rt 139/53)</t>
  </si>
  <si>
    <t xml:space="preserve">Biggest route, split it in two if needed. Riverside Dr and Corporate Park Dr are back to back. Royal Health and RSI share 42 Winter St.</t>
  </si>
  <si>
    <t xml:space="preserve">W1</t>
  </si>
  <si>
    <t xml:space="preserve">Whitman, Abington &amp; Hanson</t>
  </si>
  <si>
    <t xml:space="preserve">Three towns, one arc. Pair the Franklin St stops in Hanson (Sullivan's, President Titanium). Call Defense Investigators before trying to visit.</t>
  </si>
  <si>
    <t xml:space="preserve">X1</t>
  </si>
  <si>
    <t xml:space="preserve">Nearby, verify first</t>
  </si>
  <si>
    <t xml:space="preserve">Bay State PT HQ is in Braintree now. Call ahead, combine with a Rt 3 errand.</t>
  </si>
  <si>
    <t xml:space="preserve">Suggested first outing: N1 Norwell Accord Park. Highest tier A density, everything within a half mile, and Zildjian makes a story you can tell at every other door.</t>
  </si>
  <si>
    <t xml:space="preserve">The Drop-Off Playbook</t>
  </si>
  <si>
    <t xml:space="preserve">You are not selling at the door. You are earning a name, a face, and permission to follow up.</t>
  </si>
  <si>
    <t xml:space="preserve">Every stop ends in one of three wins: two minutes with a decision maker, the decision maker's name and email from the front desk, or a warm reason to come back. Anything else is a skip, not a failure.</t>
  </si>
  <si>
    <t xml:space="preserve">Before you leave</t>
  </si>
  <si>
    <t xml:space="preserve">• Pick one route from the Routes tab and work it end to end. 8 to 12 stops fits a half day.</t>
  </si>
  <si>
    <t xml:space="preserve">• Print a packet per stop: one page flyer, business card, handwritten sticky note. Folder, not a box.</t>
  </si>
  <si>
    <t xml:space="preserve">• Match the flyer to the stop. Experts On Demand where an IT contact is listed. Managed services or the Zero-Touch device page everywhere else.</t>
  </si>
  <si>
    <t xml:space="preserve">• Google each company that morning. Ten seconds per stop confirms they still exist and saves a wasted drive.</t>
  </si>
  <si>
    <t xml:space="preserve">• Check the IT contact and Owner columns before walking in. Asking for a person by name changes the whole interaction.</t>
  </si>
  <si>
    <t xml:space="preserve">Timing</t>
  </si>
  <si>
    <t xml:space="preserve">• Tuesday through Thursday. Monday is chaos, Friday is checkout.</t>
  </si>
  <si>
    <t xml:space="preserve">• Manufacturers and contractors: 8:30 to 11:00. Owners are in early.</t>
  </si>
  <si>
    <t xml:space="preserve">• Offices, finance, insurance, CPA: 9:30 to 11:30 or 1:30 to 4:00.</t>
  </si>
  <si>
    <t xml:space="preserve">• Clinics and healthcare: 1:30 to 3:30. Never during the morning patient rush, never in patient areas.</t>
  </si>
  <si>
    <t xml:space="preserve">• Dealerships: mid morning, midweek. Ask for the GM or controller, not the sales floor.</t>
  </si>
  <si>
    <t xml:space="preserve">At the front desk</t>
  </si>
  <si>
    <t xml:space="preserve">"Hi, I'm [your name] with 5 Point Technology. We're an IT partner based down in Plymouth, so you're in our backyard. I was just over at [neighbor from this route]. Is [first name from the list] around for two minutes? I've got something short to drop off for them."</t>
  </si>
  <si>
    <t xml:space="preserve">If they ask what it's about:</t>
  </si>
  <si>
    <t xml:space="preserve">"We support IT teams at companies about this size. Two minutes and I'm gone. If [name] is out, no problem at all. Who's the right person to leave this with, and what's their email so I don't bug your desk again?"</t>
  </si>
  <si>
    <t xml:space="preserve">Always leave with a name and an email, even when the answer is no. That is the real product of the visit.</t>
  </si>
  <si>
    <t xml:space="preserve">If the decision maker comes out (60 seconds, then stop)</t>
  </si>
  <si>
    <t xml:space="preserve">"Thanks for coming out. Thirty seconds, then one question. We're 5 Point Technology, IT support and security out of Plymouth. Twenty plus engineers, help desk through CIO level, and we already work with [vertical] teams around the South Shore. So the question: when your team hits an IT wall, who do they call today?"</t>
  </si>
  <si>
    <t xml:space="preserve">Then be quiet and listen. Whatever they say, the close is the same, one CTA:</t>
  </si>
  <si>
    <t xml:space="preserve">"That's exactly the conversation that's worth 20 minutes, not a lobby chat. Does Tuesday or Wednesday morning work for a short call?"</t>
  </si>
  <si>
    <t xml:space="preserve">Book it on the spot. A specific day beats a business card exchange every time.</t>
  </si>
  <si>
    <t xml:space="preserve">What to lead with, by segment</t>
  </si>
  <si>
    <t xml:space="preserve">• Manufacturers: production uptime, aging servers, ransomware. Defense suppliers: ask how CMMC prep is going.</t>
  </si>
  <si>
    <t xml:space="preserve">• Healthcare, ABA, senior care: HIPAA risk assessment (insurers now expect one), EHR uptime, getting new clinicians a working device on day one.</t>
  </si>
  <si>
    <t xml:space="preserve">• Banks, mortgage, insurance, CPA: GLBA and FTC Safeguards require a written security program. Ask who owns theirs. CPA firms: the IRS WISP requirement is the door opener.</t>
  </si>
  <si>
    <t xml:space="preserve">• Contractors: wire fraud. A fake invoice email has cost local contractors six figures. Ask what happens if their estimator's email gets taken over.</t>
  </si>
  <si>
    <t xml:space="preserve">• Nonprofits: right sized support, co-managed overflow, board level security reporting without enterprise pricing.</t>
  </si>
  <si>
    <t xml:space="preserve">• Auto dealers: FTC Safeguards applies to them directly. Ask who runs their safeguards program.</t>
  </si>
  <si>
    <t xml:space="preserve">Proof points that land at the door</t>
  </si>
  <si>
    <t xml:space="preserve">• 20 plus certified engineers, help desk through C-suite, Experts On Demand for burst capacity.</t>
  </si>
  <si>
    <t xml:space="preserve">• Plymouth HQ with Boston and Manhattan presence. On site here the same day when it matters.</t>
  </si>
  <si>
    <t xml:space="preserve">• Zero-Touch device program: laptop delivery cut from weeks to days, next business day replacement.</t>
  </si>
  <si>
    <t xml:space="preserve">• About 2.5 hours saved per endpoint per year on device upkeep alone.</t>
  </si>
  <si>
    <t xml:space="preserve">• Co-managed or fully managed. We plug into your team. We do not replace it.</t>
  </si>
  <si>
    <t xml:space="preserve">The offer</t>
  </si>
  <si>
    <t xml:space="preserve">Lead offer: a free assessment with a real name and a real value. Co-managed prospects get a capacity and infrastructure check. Fully managed prospects get a security risk assessment mapped to their rules: HIPAA, GLBA, FTC Safeguards, or CMMC.</t>
  </si>
  <si>
    <t xml:space="preserve">Risk reversal: put a date on it. Findings reviewed with them within 10 business days. If they sign later, a defined onboarding milestone by day 30.</t>
  </si>
  <si>
    <t xml:space="preserve">No invented scarcity, ever. These buyers smell it and it costs every ounce of trust.</t>
  </si>
  <si>
    <t xml:space="preserve">After the visit</t>
  </si>
  <si>
    <t xml:space="preserve">• Same evening: log every stop in the Target List. Status, visit date, next step. The list is only as good as what you put back into it.</t>
  </si>
  <si>
    <t xml:space="preserve">• Within 48 hours: a plain text email plus one call. Subject line, lowercase and local:</t>
  </si>
  <si>
    <t xml:space="preserve">subject: stopped by [company] yesterday</t>
  </si>
  <si>
    <t xml:space="preserve">"Hi [Name], I left a one pager at your front desk yesterday. We're the IT partner in Plymouth that works with [similar local company type] nearby. One question: when your team is stretched thin on IT, do you handle the overflow in house or hand it off? If that's ever a squeeze, it's worth a 20 minute call. [Your name]"</t>
  </si>
  <si>
    <t xml:space="preserve">• Day 7: second call. Day 21: postcard or a second visit on the next pass of that route.</t>
  </si>
  <si>
    <t xml:space="preserve">• Rework each route monthly. The second and third visits are where familiar becomes trusted.</t>
  </si>
  <si>
    <t xml:space="preserve">Ground rules</t>
  </si>
  <si>
    <t xml:space="preserve">• Respect No Soliciting signs. Those accounts get mail and a call instead. Burning a front desk burns the account.</t>
  </si>
  <si>
    <t xml:space="preserve">• Front office only. Never the shop floor, never patient areas, never past a security desk.</t>
  </si>
  <si>
    <t xml:space="preserve">• Two minutes means two minutes. Leaving on time is the credibility.</t>
  </si>
  <si>
    <t xml:space="preserve">• Contact names came from a database. Confirm at the desk: asking whether [name] still runs IT is itself a fine opener.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</si>
</sst>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mm/dd/yy"/>
    <numFmt numFmtId="167" formatCode="#,##0"/>
    <numFmt numFmtId="168" formatCode="\$#,##0.0,,"/>
    <numFmt numFmtId="169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i val="true"/>
      <sz val="10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DDEBF7"/>
        <bgColor rgb="FFEDF2FA"/>
      </patternFill>
    </fill>
    <fill>
      <patternFill patternType="solid">
        <fgColor rgb="FFFFF2CC"/>
        <bgColor rgb="FFFFF9C4"/>
      </patternFill>
    </fill>
    <fill>
      <patternFill patternType="solid">
        <fgColor rgb="FF1F3864"/>
        <bgColor rgb="FF1F4E79"/>
      </patternFill>
    </fill>
    <fill>
      <patternFill patternType="solid">
        <fgColor rgb="FFFFF9C4"/>
        <bgColor rgb="FFFFF2CC"/>
      </patternFill>
    </fill>
    <fill>
      <patternFill patternType="solid">
        <fgColor rgb="FFEDF2F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A"/>
      <rgbColor rgb="FFC6EFCE"/>
      <rgbColor rgb="FFFFF2CC"/>
      <rgbColor rgb="FF99CCFF"/>
      <rgbColor rgb="FFFF99CC"/>
      <rgbColor rgb="FFCC99FF"/>
      <rgbColor rgb="FFFFCC99"/>
      <rgbColor rgb="FF1565C0"/>
      <rgbColor rgb="FF33CCCC"/>
      <rgbColor rgb="FF99CC00"/>
      <rgbColor rgb="FFFFCC00"/>
      <rgbColor rgb="FFFF9900"/>
      <rgbColor rgb="FFE65100"/>
      <rgbColor rgb="FF616161"/>
      <rgbColor rgb="FF969696"/>
      <rgbColor rgb="FF1F3864"/>
      <rgbColor rgb="FF2E7D32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Cutter%20Associates%2C%201050%20Hingham%20St%2C%20Fl%201%2C%20Rockland%20MA%2002370" TargetMode="External"/><Relationship Id="rId2" Type="http://schemas.openxmlformats.org/officeDocument/2006/relationships/hyperlink" Target="https://cutterassociates.com/" TargetMode="External"/><Relationship Id="rId3" Type="http://schemas.openxmlformats.org/officeDocument/2006/relationships/hyperlink" Target="https://www.google.com/maps/search/?api=1&amp;query=FINTRX%2C%2040%20Reservoir%20Park%20Dr%2C%20Ste%20A%2C%20Rockland%20MA%2002370" TargetMode="External"/><Relationship Id="rId4" Type="http://schemas.openxmlformats.org/officeDocument/2006/relationships/hyperlink" Target="https://fintrx.com/" TargetMode="External"/><Relationship Id="rId5" Type="http://schemas.openxmlformats.org/officeDocument/2006/relationships/hyperlink" Target="https://www.google.com/maps/search/?api=1&amp;query=The%20Catered%20Affair%2C%2070%20Ledgewood%20Pl%2C%20Rockland%20MA%2002370" TargetMode="External"/><Relationship Id="rId6" Type="http://schemas.openxmlformats.org/officeDocument/2006/relationships/hyperlink" Target="https://thecateredaffair.com/" TargetMode="External"/><Relationship Id="rId7" Type="http://schemas.openxmlformats.org/officeDocument/2006/relationships/hyperlink" Target="https://www.google.com/maps/search/?api=1&amp;query=ControlPoint%20Technologies%2C%20200%20Ledgewood%20Pl%2C%20Ste%20300%2C%20Rockland%20MA%2002370" TargetMode="External"/><Relationship Id="rId8" Type="http://schemas.openxmlformats.org/officeDocument/2006/relationships/hyperlink" Target="https://cpteng.com/" TargetMode="External"/><Relationship Id="rId9" Type="http://schemas.openxmlformats.org/officeDocument/2006/relationships/hyperlink" Target="https://www.google.com/maps/search/?api=1&amp;query=Burke%20%26%20Associates%20CPAs%2C%20300%20Ledgewood%20Pl%2C%20Ste%20300%2C%20Rockland%20MA%2002370" TargetMode="External"/><Relationship Id="rId10" Type="http://schemas.openxmlformats.org/officeDocument/2006/relationships/hyperlink" Target="https://burkeandassoc.com/" TargetMode="External"/><Relationship Id="rId11" Type="http://schemas.openxmlformats.org/officeDocument/2006/relationships/hyperlink" Target="https://www.google.com/maps/search/?api=1&amp;query=EMD%20Serono%2C%201%20Technology%20Pl%2C%20Rockland%20MA%2002370" TargetMode="External"/><Relationship Id="rId12" Type="http://schemas.openxmlformats.org/officeDocument/2006/relationships/hyperlink" Target="https://emdserono.com/" TargetMode="External"/><Relationship Id="rId13" Type="http://schemas.openxmlformats.org/officeDocument/2006/relationships/hyperlink" Target="https://www.google.com/maps/search/?api=1&amp;query=Food%20Tech%2C%20200%20Ledgewood%20Pl%2C%20Ste%20200%2C%20Rockland%20MA%2002370" TargetMode="External"/><Relationship Id="rId14" Type="http://schemas.openxmlformats.org/officeDocument/2006/relationships/hyperlink" Target="https://foodtech.com/" TargetMode="External"/><Relationship Id="rId15" Type="http://schemas.openxmlformats.org/officeDocument/2006/relationships/hyperlink" Target="https://www.google.com/maps/search/?api=1&amp;query=Rockland%20Federal%20Credit%20Union%2C%20241%20Union%20St%2C%20Rockland%20MA%2002370" TargetMode="External"/><Relationship Id="rId16" Type="http://schemas.openxmlformats.org/officeDocument/2006/relationships/hyperlink" Target="https://rfcu.com/" TargetMode="External"/><Relationship Id="rId17" Type="http://schemas.openxmlformats.org/officeDocument/2006/relationships/hyperlink" Target="https://www.google.com/maps/search/?api=1&amp;query=UPPAbaby%2C%20276%20Weymouth%20St%2C%20Rockland%20MA%2002370" TargetMode="External"/><Relationship Id="rId18" Type="http://schemas.openxmlformats.org/officeDocument/2006/relationships/hyperlink" Target="https://uppababy.com/" TargetMode="External"/><Relationship Id="rId19" Type="http://schemas.openxmlformats.org/officeDocument/2006/relationships/hyperlink" Target="https://www.google.com/maps/search/?api=1&amp;query=Polymer%20Corporation%2C%20180%20Pleasant%20St%2C%20Rockland%20MA%2002370" TargetMode="External"/><Relationship Id="rId20" Type="http://schemas.openxmlformats.org/officeDocument/2006/relationships/hyperlink" Target="https://polymercorporation.com/" TargetMode="External"/><Relationship Id="rId21" Type="http://schemas.openxmlformats.org/officeDocument/2006/relationships/hyperlink" Target="https://www.google.com/maps/search/?api=1&amp;query=Briggs%20Engineering%2C%20100%20Weymouth%20St%2C%20Ste%20C2%2C%20Rockland%20MA%2002370" TargetMode="External"/><Relationship Id="rId22" Type="http://schemas.openxmlformats.org/officeDocument/2006/relationships/hyperlink" Target="https://briggsengineering.com/" TargetMode="External"/><Relationship Id="rId23" Type="http://schemas.openxmlformats.org/officeDocument/2006/relationships/hyperlink" Target="https://www.google.com/maps/search/?api=1&amp;query=National%20Coating%2C%20105%20Industrial%20Way%2C%20Rockland%20MA%2002370" TargetMode="External"/><Relationship Id="rId24" Type="http://schemas.openxmlformats.org/officeDocument/2006/relationships/hyperlink" Target="https://natcoat.com/" TargetMode="External"/><Relationship Id="rId25" Type="http://schemas.openxmlformats.org/officeDocument/2006/relationships/hyperlink" Target="https://www.google.com/maps/search/?api=1&amp;query=K5%20Corporation%2C%209%20Rockview%20Way%2C%20Ste%20B%2C%20Rockland%20MA%2002370" TargetMode="External"/><Relationship Id="rId26" Type="http://schemas.openxmlformats.org/officeDocument/2006/relationships/hyperlink" Target="https://k5corporation.com/" TargetMode="External"/><Relationship Id="rId27" Type="http://schemas.openxmlformats.org/officeDocument/2006/relationships/hyperlink" Target="https://www.google.com/maps/search/?api=1&amp;query=George%20T.%20Wilkinson%2C%20405%20VFW%20Dr%2C%20Ste%201%2C%20Rockland%20MA%2002370" TargetMode="External"/><Relationship Id="rId28" Type="http://schemas.openxmlformats.org/officeDocument/2006/relationships/hyperlink" Target="https://gtwilkinson.com/" TargetMode="External"/><Relationship Id="rId29" Type="http://schemas.openxmlformats.org/officeDocument/2006/relationships/hyperlink" Target="https://www.google.com/maps/search/?api=1&amp;query=Commonwealth%20Building%20Systems%2C%2017%20Rockview%20Way%2C%20Rockland%20MA%2002370" TargetMode="External"/><Relationship Id="rId30" Type="http://schemas.openxmlformats.org/officeDocument/2006/relationships/hyperlink" Target="https://commonwealthbuildingsystems.com/" TargetMode="External"/><Relationship Id="rId31" Type="http://schemas.openxmlformats.org/officeDocument/2006/relationships/hyperlink" Target="https://www.google.com/maps/search/?api=1&amp;query=Bendon%20Gear%20%26%20Machine%2C%20100%20Weymouth%20St%2C%20Ste%20A1%2C%20Rockland%20MA%2002370" TargetMode="External"/><Relationship Id="rId32" Type="http://schemas.openxmlformats.org/officeDocument/2006/relationships/hyperlink" Target="https://bendongear.com/" TargetMode="External"/><Relationship Id="rId33" Type="http://schemas.openxmlformats.org/officeDocument/2006/relationships/hyperlink" Target="https://www.google.com/maps/search/?api=1&amp;query=Alletess%20Medical%20Laboratory%2C%2014%20Howard%20St%2C%20Rockland%20MA%2002370" TargetMode="External"/><Relationship Id="rId34" Type="http://schemas.openxmlformats.org/officeDocument/2006/relationships/hyperlink" Target="https://foodallergy.com/" TargetMode="External"/><Relationship Id="rId35" Type="http://schemas.openxmlformats.org/officeDocument/2006/relationships/hyperlink" Target="https://www.google.com/maps/search/?api=1&amp;query=Rockland%20Trust%20%28Independent%20Bank%20Corp%29%2C%20288%20Union%20St%2C%20Rockland%20MA%2002370" TargetMode="External"/><Relationship Id="rId36" Type="http://schemas.openxmlformats.org/officeDocument/2006/relationships/hyperlink" Target="https://rocklandtrust.com/" TargetMode="External"/><Relationship Id="rId37" Type="http://schemas.openxmlformats.org/officeDocument/2006/relationships/hyperlink" Target="https://www.google.com/maps/search/?api=1&amp;query=United%20A/C%2C%20Heating%20%26%20Refrigeration%2C%20333%20Weymouth%20St%2C%20Rockland%20MA%2002370" TargetMode="External"/><Relationship Id="rId38" Type="http://schemas.openxmlformats.org/officeDocument/2006/relationships/hyperlink" Target="https://united-hvac.com/" TargetMode="External"/><Relationship Id="rId39" Type="http://schemas.openxmlformats.org/officeDocument/2006/relationships/hyperlink" Target="https://www.google.com/maps/search/?api=1&amp;query=Green%20Environmental%2C%20296%20Weymouth%20St%2C%20Ste%20C%2C%20Rockland%20MA%2002370" TargetMode="External"/><Relationship Id="rId40" Type="http://schemas.openxmlformats.org/officeDocument/2006/relationships/hyperlink" Target="https://greenenvironmental.com/" TargetMode="External"/><Relationship Id="rId41" Type="http://schemas.openxmlformats.org/officeDocument/2006/relationships/hyperlink" Target="https://www.google.com/maps/search/?api=1&amp;query=OneScience%2C%20222%20Weymouth%20St%2C%20Ste%202%2C%20Rockland%20MA%2002370" TargetMode="External"/><Relationship Id="rId42" Type="http://schemas.openxmlformats.org/officeDocument/2006/relationships/hyperlink" Target="https://onescience.com/" TargetMode="External"/><Relationship Id="rId43" Type="http://schemas.openxmlformats.org/officeDocument/2006/relationships/hyperlink" Target="https://www.google.com/maps/search/?api=1&amp;query=MIJA%2C%2011%20Commerce%20Rd%2C%20Ste%20C%2C%20Rockland%20MA%2002370" TargetMode="External"/><Relationship Id="rId44" Type="http://schemas.openxmlformats.org/officeDocument/2006/relationships/hyperlink" Target="https://mija.com/" TargetMode="External"/><Relationship Id="rId45" Type="http://schemas.openxmlformats.org/officeDocument/2006/relationships/hyperlink" Target="https://www.google.com/maps/search/?api=1&amp;query=RuggedMade%2C%207%20Market%20St%2C%20Rockland%20MA%2002370" TargetMode="External"/><Relationship Id="rId46" Type="http://schemas.openxmlformats.org/officeDocument/2006/relationships/hyperlink" Target="https://ruggedmade.com/" TargetMode="External"/><Relationship Id="rId47" Type="http://schemas.openxmlformats.org/officeDocument/2006/relationships/hyperlink" Target="https://www.google.com/maps/search/?api=1&amp;query=Avedis%20Zildjian%20Company%2C%2022%20Longwater%20Dr%2C%20Norwell%20MA%2002061" TargetMode="External"/><Relationship Id="rId48" Type="http://schemas.openxmlformats.org/officeDocument/2006/relationships/hyperlink" Target="https://zildjian.com/" TargetMode="External"/><Relationship Id="rId49" Type="http://schemas.openxmlformats.org/officeDocument/2006/relationships/hyperlink" Target="https://www.google.com/maps/search/?api=1&amp;query=Radius%20Financial%20Group%2C%20600%20Longwater%20Dr%2C%20Ste%20107%2C%20Norwell%20MA%2002061" TargetMode="External"/><Relationship Id="rId50" Type="http://schemas.openxmlformats.org/officeDocument/2006/relationships/hyperlink" Target="https://radiusgrp.com/" TargetMode="External"/><Relationship Id="rId51" Type="http://schemas.openxmlformats.org/officeDocument/2006/relationships/hyperlink" Target="https://www.google.com/maps/search/?api=1&amp;query=NVNA%20and%20Hospice%20%28Norwell%20VNA%29%2C%20120%20Longwater%20Dr%2C%20Ste%20104%2C%20Norwell%20MA%2002061" TargetMode="External"/><Relationship Id="rId52" Type="http://schemas.openxmlformats.org/officeDocument/2006/relationships/hyperlink" Target="https://nvna.org/" TargetMode="External"/><Relationship Id="rId53" Type="http://schemas.openxmlformats.org/officeDocument/2006/relationships/hyperlink" Target="https://www.google.com/maps/search/?api=1&amp;query=DIH%20Holding%20US%20%28Hocoma%29%2C%2077%20Accord%20Park%20Dr%2C%20Ste%20D1%2C%20Norwell%20MA%2002061" TargetMode="External"/><Relationship Id="rId54" Type="http://schemas.openxmlformats.org/officeDocument/2006/relationships/hyperlink" Target="https://dih.com/" TargetMode="External"/><Relationship Id="rId55" Type="http://schemas.openxmlformats.org/officeDocument/2006/relationships/hyperlink" Target="https://www.google.com/maps/search/?api=1&amp;query=Miniter%20Group%2C%20600%20Longwater%20Dr%2C%20Ste%20301%2C%20Norwell%20MA%2002061" TargetMode="External"/><Relationship Id="rId56" Type="http://schemas.openxmlformats.org/officeDocument/2006/relationships/hyperlink" Target="https://miniter.com/" TargetMode="External"/><Relationship Id="rId57" Type="http://schemas.openxmlformats.org/officeDocument/2006/relationships/hyperlink" Target="https://www.google.com/maps/search/?api=1&amp;query=Snow%20%26%20Jones%2C%2085%20Accord%20Park%20Dr%2C%20Norwell%20MA%2002061" TargetMode="External"/><Relationship Id="rId58" Type="http://schemas.openxmlformats.org/officeDocument/2006/relationships/hyperlink" Target="https://snowandjones.com/" TargetMode="External"/><Relationship Id="rId59" Type="http://schemas.openxmlformats.org/officeDocument/2006/relationships/hyperlink" Target="https://www.google.com/maps/search/?api=1&amp;query=Airxchange%2C%2085%20Longwater%20Dr%2C%20Rockland%20MA%2002370" TargetMode="External"/><Relationship Id="rId60" Type="http://schemas.openxmlformats.org/officeDocument/2006/relationships/hyperlink" Target="https://airxchange.com/" TargetMode="External"/><Relationship Id="rId61" Type="http://schemas.openxmlformats.org/officeDocument/2006/relationships/hyperlink" Target="https://www.google.com/maps/search/?api=1&amp;query=Alternatives%20ABA%2C%2076%20Accord%20Park%20Dr%2C%20Norwell%20MA%2002061" TargetMode="External"/><Relationship Id="rId62" Type="http://schemas.openxmlformats.org/officeDocument/2006/relationships/hyperlink" Target="https://alternativesaba.com/" TargetMode="External"/><Relationship Id="rId63" Type="http://schemas.openxmlformats.org/officeDocument/2006/relationships/hyperlink" Target="https://www.google.com/maps/search/?api=1&amp;query=North%20River%20Home%20Care%2C%20275%20Longwater%20Dr%2C%20Norwell%20MA%2002061" TargetMode="External"/><Relationship Id="rId64" Type="http://schemas.openxmlformats.org/officeDocument/2006/relationships/hyperlink" Target="https://northriverhc.com/" TargetMode="External"/><Relationship Id="rId65" Type="http://schemas.openxmlformats.org/officeDocument/2006/relationships/hyperlink" Target="https://www.google.com/maps/search/?api=1&amp;query=Radio%20Solutions%2C%2055%20Accord%20Park%20Dr%2C%20Norwell%20MA%2002061" TargetMode="External"/><Relationship Id="rId66" Type="http://schemas.openxmlformats.org/officeDocument/2006/relationships/hyperlink" Target="https://radiosolutionsinc.com/" TargetMode="External"/><Relationship Id="rId67" Type="http://schemas.openxmlformats.org/officeDocument/2006/relationships/hyperlink" Target="https://www.google.com/maps/search/?api=1&amp;query=TryAngle%20Foods%2C%2017%20Accord%20Park%20Dr%2C%20Ste%20202%2C%20Norwell%20MA%2002061" TargetMode="External"/><Relationship Id="rId68" Type="http://schemas.openxmlformats.org/officeDocument/2006/relationships/hyperlink" Target="https://tryanglefoods.com/" TargetMode="External"/><Relationship Id="rId69" Type="http://schemas.openxmlformats.org/officeDocument/2006/relationships/hyperlink" Target="https://www.google.com/maps/search/?api=1&amp;query=Blue%20Bear%20Plumbing%2C%20Heating%20%26%20Air%2C%20300%20Longwater%20Dr%2C%20Norwell%20MA%2002061" TargetMode="External"/><Relationship Id="rId70" Type="http://schemas.openxmlformats.org/officeDocument/2006/relationships/hyperlink" Target="https://bluebearplumbing.com/" TargetMode="External"/><Relationship Id="rId71" Type="http://schemas.openxmlformats.org/officeDocument/2006/relationships/hyperlink" Target="https://www.google.com/maps/search/?api=1&amp;query=The%20Driscoll%20Agency%2C%20141%20Longwater%20Dr%2C%20Ste%20203%2C%20Norwell%20MA%2002061" TargetMode="External"/><Relationship Id="rId72" Type="http://schemas.openxmlformats.org/officeDocument/2006/relationships/hyperlink" Target="https://driscollagency.com/" TargetMode="External"/><Relationship Id="rId73" Type="http://schemas.openxmlformats.org/officeDocument/2006/relationships/hyperlink" Target="https://www.google.com/maps/search/?api=1&amp;query=Safety-Kleen%20%28Clean%20Harbors%29%2C%2042%20Longwater%20Dr%2C%20Norwell%20MA%2002061" TargetMode="External"/><Relationship Id="rId74" Type="http://schemas.openxmlformats.org/officeDocument/2006/relationships/hyperlink" Target="https://safety-kleen.com/" TargetMode="External"/><Relationship Id="rId75" Type="http://schemas.openxmlformats.org/officeDocument/2006/relationships/hyperlink" Target="https://www.google.com/maps/search/?api=1&amp;query=Sullivan%20Tire%2C%2041%20Accord%20Park%20Dr%2C%20Norwell%20MA%2002061" TargetMode="External"/><Relationship Id="rId76" Type="http://schemas.openxmlformats.org/officeDocument/2006/relationships/hyperlink" Target="https://sullivantire.com/" TargetMode="External"/><Relationship Id="rId77" Type="http://schemas.openxmlformats.org/officeDocument/2006/relationships/hyperlink" Target="https://www.google.com/maps/search/?api=1&amp;query=Signet%20Electronic%20Systems%2C%2090%20Longwater%20Dr%2C%20Norwell%20MA%2002061" TargetMode="External"/><Relationship Id="rId78" Type="http://schemas.openxmlformats.org/officeDocument/2006/relationships/hyperlink" Target="https://signetgroup.net/" TargetMode="External"/><Relationship Id="rId79" Type="http://schemas.openxmlformats.org/officeDocument/2006/relationships/hyperlink" Target="https://www.google.com/maps/search/?api=1&amp;query=South%20Shore%20Skin%20Center%2C%2075%20Washington%20St%2C%20Ste%201%2C%20Norwell%20MA%2002061" TargetMode="External"/><Relationship Id="rId80" Type="http://schemas.openxmlformats.org/officeDocument/2006/relationships/hyperlink" Target="https://southshoreskincenter.com/" TargetMode="External"/><Relationship Id="rId81" Type="http://schemas.openxmlformats.org/officeDocument/2006/relationships/hyperlink" Target="https://www.google.com/maps/search/?api=1&amp;query=Jack%20Conway%20%26%20Co.%2C%20137%20Washington%20St%2C%20Norwell%20MA%2002061" TargetMode="External"/><Relationship Id="rId82" Type="http://schemas.openxmlformats.org/officeDocument/2006/relationships/hyperlink" Target="https://jackconway.com/" TargetMode="External"/><Relationship Id="rId83" Type="http://schemas.openxmlformats.org/officeDocument/2006/relationships/hyperlink" Target="https://www.google.com/maps/search/?api=1&amp;query=Southwood%20at%20Norwell%20Nursing%20Center%2C%20501%20Cordwainer%20Dr%2C%20Norwell%20MA%2002061" TargetMode="External"/><Relationship Id="rId84" Type="http://schemas.openxmlformats.org/officeDocument/2006/relationships/hyperlink" Target="https://southwoodatnorwell.com/" TargetMode="External"/><Relationship Id="rId85" Type="http://schemas.openxmlformats.org/officeDocument/2006/relationships/hyperlink" Target="https://www.google.com/maps/search/?api=1&amp;query=Proven%20Behavior%20Solutions%2C%2080%20Washington%20St%2C%20Ste%20Q57%2C%20Norwell%20MA%2002061" TargetMode="External"/><Relationship Id="rId86" Type="http://schemas.openxmlformats.org/officeDocument/2006/relationships/hyperlink" Target="https://provenaba.com/" TargetMode="External"/><Relationship Id="rId87" Type="http://schemas.openxmlformats.org/officeDocument/2006/relationships/hyperlink" Target="https://www.google.com/maps/search/?api=1&amp;query=South%20Shore%20Autism%20Center%2C%2045%20Pond%20St%2C%20Norwell%20MA%2002061" TargetMode="External"/><Relationship Id="rId88" Type="http://schemas.openxmlformats.org/officeDocument/2006/relationships/hyperlink" Target="https://ssautismcenter.com/" TargetMode="External"/><Relationship Id="rId89" Type="http://schemas.openxmlformats.org/officeDocument/2006/relationships/hyperlink" Target="https://www.google.com/maps/search/?api=1&amp;query=LMHS%2C%20P.C.%2C%2080%20Washington%20St%2C%20Bldg%20S%2C%20Norwell%20MA%2002061" TargetMode="External"/><Relationship Id="rId90" Type="http://schemas.openxmlformats.org/officeDocument/2006/relationships/hyperlink" Target="https://lmhspc.com/" TargetMode="External"/><Relationship Id="rId91" Type="http://schemas.openxmlformats.org/officeDocument/2006/relationships/hyperlink" Target="https://www.google.com/maps/search/?api=1&amp;query=Oral%20Surgery%20South%2C%2080%20Washington%20St%2C%20Ste%20N51%2C%20Norwell%20MA%2002061" TargetMode="External"/><Relationship Id="rId92" Type="http://schemas.openxmlformats.org/officeDocument/2006/relationships/hyperlink" Target="https://oralsurgerysouth.com/" TargetMode="External"/><Relationship Id="rId93" Type="http://schemas.openxmlformats.org/officeDocument/2006/relationships/hyperlink" Target="https://www.google.com/maps/search/?api=1&amp;query=Arbour%20Counseling%20Services%2C%20384%20Washington%20St%2C%20Ste%20202%2C%20Norwell%20MA%2002061" TargetMode="External"/><Relationship Id="rId94" Type="http://schemas.openxmlformats.org/officeDocument/2006/relationships/hyperlink" Target="https://arbourhealth.com/" TargetMode="External"/><Relationship Id="rId95" Type="http://schemas.openxmlformats.org/officeDocument/2006/relationships/hyperlink" Target="https://www.google.com/maps/search/?api=1&amp;query=Friendship%20Home%2C%20458%20Main%20St%2C%20Norwell%20MA%2002061" TargetMode="External"/><Relationship Id="rId96" Type="http://schemas.openxmlformats.org/officeDocument/2006/relationships/hyperlink" Target="https://friendshiphome.net/" TargetMode="External"/><Relationship Id="rId97" Type="http://schemas.openxmlformats.org/officeDocument/2006/relationships/hyperlink" Target="https://www.google.com/maps/search/?api=1&amp;query=Dolomite%20Bio%20%28Blacktrace%20US%29%2C%20156%20Norwell%20Ave%2C%20Norwell%20MA%2002061" TargetMode="External"/><Relationship Id="rId98" Type="http://schemas.openxmlformats.org/officeDocument/2006/relationships/hyperlink" Target="https://dolomite-bio.com/" TargetMode="External"/><Relationship Id="rId99" Type="http://schemas.openxmlformats.org/officeDocument/2006/relationships/hyperlink" Target="https://www.google.com/maps/search/?api=1&amp;query=AJAX%20Jets%2C%20167%20Washington%20St%2C%20Norwell%20MA%2002061" TargetMode="External"/><Relationship Id="rId100" Type="http://schemas.openxmlformats.org/officeDocument/2006/relationships/hyperlink" Target="https://ajaxjets.com/" TargetMode="External"/><Relationship Id="rId101" Type="http://schemas.openxmlformats.org/officeDocument/2006/relationships/hyperlink" Target="https://www.google.com/maps/search/?api=1&amp;query=Cardinal%20Cushing%20Centers%2C%20405%20Washington%20St%2C%20Hanover%20MA%2002339" TargetMode="External"/><Relationship Id="rId102" Type="http://schemas.openxmlformats.org/officeDocument/2006/relationships/hyperlink" Target="https://cushingcenters.org/" TargetMode="External"/><Relationship Id="rId103" Type="http://schemas.openxmlformats.org/officeDocument/2006/relationships/hyperlink" Target="https://www.google.com/maps/search/?api=1&amp;query=Homestead%20Mortgage%2C%20427%20Columbia%20Rd%2C%20Ste%20114%2C%20Hanover%20MA%2002339" TargetMode="External"/><Relationship Id="rId104" Type="http://schemas.openxmlformats.org/officeDocument/2006/relationships/hyperlink" Target="https://myhomesteadmortgage.com/" TargetMode="External"/><Relationship Id="rId105" Type="http://schemas.openxmlformats.org/officeDocument/2006/relationships/hyperlink" Target="https://www.google.com/maps/search/?api=1&amp;query=First%20Resource%20Management%2C%202001%20Washington%20St%2C%20Hanover%20MA%2002339" TargetMode="External"/><Relationship Id="rId106" Type="http://schemas.openxmlformats.org/officeDocument/2006/relationships/hyperlink" Target="https://firstresourcecompanies.com/" TargetMode="External"/><Relationship Id="rId107" Type="http://schemas.openxmlformats.org/officeDocument/2006/relationships/hyperlink" Target="https://www.google.com/maps/search/?api=1&amp;query=Wozny/Barbar%20%26%20Associates%2C%201076%20Washington%20St%2C%20Hanover%20MA%2002339" TargetMode="External"/><Relationship Id="rId108" Type="http://schemas.openxmlformats.org/officeDocument/2006/relationships/hyperlink" Target="https://wbaengineers.com/" TargetMode="External"/><Relationship Id="rId109" Type="http://schemas.openxmlformats.org/officeDocument/2006/relationships/hyperlink" Target="https://www.google.com/maps/search/?api=1&amp;query=Merrill%20Associates%2C%20427%20Columbia%20Rd%2C%20Hanover%20MA%2002339" TargetMode="External"/><Relationship Id="rId110" Type="http://schemas.openxmlformats.org/officeDocument/2006/relationships/hyperlink" Target="https://merrillinc.com/" TargetMode="External"/><Relationship Id="rId111" Type="http://schemas.openxmlformats.org/officeDocument/2006/relationships/hyperlink" Target="https://www.google.com/maps/search/?api=1&amp;query=McGee%20Toyota%20of%20Hanover%2C%20860%20Washington%20St%2C%20Hanover%20MA%2002339" TargetMode="External"/><Relationship Id="rId112" Type="http://schemas.openxmlformats.org/officeDocument/2006/relationships/hyperlink" Target="https://mcgeetoyota.com/" TargetMode="External"/><Relationship Id="rId113" Type="http://schemas.openxmlformats.org/officeDocument/2006/relationships/hyperlink" Target="https://www.google.com/maps/search/?api=1&amp;query=Planet%20Subaru%2C%20596%20Washington%20St%2C%20Hanover%20MA%2002339" TargetMode="External"/><Relationship Id="rId114" Type="http://schemas.openxmlformats.org/officeDocument/2006/relationships/hyperlink" Target="https://planetsubaru.com/" TargetMode="External"/><Relationship Id="rId115" Type="http://schemas.openxmlformats.org/officeDocument/2006/relationships/hyperlink" Target="https://www.google.com/maps/search/?api=1&amp;query=Jannell%20Ford%2C%202000%20Washington%20St%2C%20Hanover%20MA%2002339" TargetMode="External"/><Relationship Id="rId116" Type="http://schemas.openxmlformats.org/officeDocument/2006/relationships/hyperlink" Target="https://jannellford.com/" TargetMode="External"/><Relationship Id="rId117" Type="http://schemas.openxmlformats.org/officeDocument/2006/relationships/hyperlink" Target="https://www.google.com/maps/search/?api=1&amp;query=P.A.%20Landers%2C%20351%20Winter%20St%2C%20Hanover%20MA%2002339" TargetMode="External"/><Relationship Id="rId118" Type="http://schemas.openxmlformats.org/officeDocument/2006/relationships/hyperlink" Target="https://palanders.com/" TargetMode="External"/><Relationship Id="rId119" Type="http://schemas.openxmlformats.org/officeDocument/2006/relationships/hyperlink" Target="https://www.google.com/maps/search/?api=1&amp;query=Buckley%20Associates%2C%20385%20King%20St%2C%20Hanover%20MA%2002339" TargetMode="External"/><Relationship Id="rId120" Type="http://schemas.openxmlformats.org/officeDocument/2006/relationships/hyperlink" Target="https://buckleyonline.com/" TargetMode="External"/><Relationship Id="rId121" Type="http://schemas.openxmlformats.org/officeDocument/2006/relationships/hyperlink" Target="https://www.google.com/maps/search/?api=1&amp;query=SRC%20Medical%2C%20263%20Winter%20St%2C%20Hanover%20MA%2002339" TargetMode="External"/><Relationship Id="rId122" Type="http://schemas.openxmlformats.org/officeDocument/2006/relationships/hyperlink" Target="https://srcmedical.com/" TargetMode="External"/><Relationship Id="rId123" Type="http://schemas.openxmlformats.org/officeDocument/2006/relationships/hyperlink" Target="https://www.google.com/maps/search/?api=1&amp;query=Hapco%2C%20353%20Circuit%20St%2C%20Hanover%20MA%2002339" TargetMode="External"/><Relationship Id="rId124" Type="http://schemas.openxmlformats.org/officeDocument/2006/relationships/hyperlink" Target="https://hapcoincorporated.com/" TargetMode="External"/><Relationship Id="rId125" Type="http://schemas.openxmlformats.org/officeDocument/2006/relationships/hyperlink" Target="https://www.google.com/maps/search/?api=1&amp;query=Gem%20Gravure%2C%20112%20School%20St%2C%20Hanover%20MA%2002339" TargetMode="External"/><Relationship Id="rId126" Type="http://schemas.openxmlformats.org/officeDocument/2006/relationships/hyperlink" Target="https://gemgravure.com/" TargetMode="External"/><Relationship Id="rId127" Type="http://schemas.openxmlformats.org/officeDocument/2006/relationships/hyperlink" Target="https://www.google.com/maps/search/?api=1&amp;query=Cri-Tech%20%28Daikin%29%2C%2085%20Winter%20St%2C%20Hanover%20MA%2002339" TargetMode="External"/><Relationship Id="rId128" Type="http://schemas.openxmlformats.org/officeDocument/2006/relationships/hyperlink" Target="https://critechinc.com/" TargetMode="External"/><Relationship Id="rId129" Type="http://schemas.openxmlformats.org/officeDocument/2006/relationships/hyperlink" Target="https://www.google.com/maps/search/?api=1&amp;query=A.%20Murphy%20Inc%2C%2035%20Hanover%20St%2C%20Hanover%20MA%2002339" TargetMode="External"/><Relationship Id="rId130" Type="http://schemas.openxmlformats.org/officeDocument/2006/relationships/hyperlink" Target="https://amurphy.com/" TargetMode="External"/><Relationship Id="rId131" Type="http://schemas.openxmlformats.org/officeDocument/2006/relationships/hyperlink" Target="https://www.google.com/maps/search/?api=1&amp;query=Eyesaver%20International%2C%20348%20Circuit%20St%2C%20Ste%202%2C%20Hanover%20MA%2002339" TargetMode="External"/><Relationship Id="rId132" Type="http://schemas.openxmlformats.org/officeDocument/2006/relationships/hyperlink" Target="https://eyesaverinternational.com/" TargetMode="External"/><Relationship Id="rId133" Type="http://schemas.openxmlformats.org/officeDocument/2006/relationships/hyperlink" Target="https://www.google.com/maps/search/?api=1&amp;query=Sturtevant%2C%20348%20Circuit%20St%2C%20Ste%201%2C%20Hanover%20MA%2002339" TargetMode="External"/><Relationship Id="rId134" Type="http://schemas.openxmlformats.org/officeDocument/2006/relationships/hyperlink" Target="https://sturtevantinc.com/" TargetMode="External"/><Relationship Id="rId135" Type="http://schemas.openxmlformats.org/officeDocument/2006/relationships/hyperlink" Target="https://www.google.com/maps/search/?api=1&amp;query=Lubrite%20Technologies%2C%20145%20Webster%20St%2C%20Ste%20J%2C%20Hanover%20MA%2002339" TargetMode="External"/><Relationship Id="rId136" Type="http://schemas.openxmlformats.org/officeDocument/2006/relationships/hyperlink" Target="https://lubritetechnologies.com/" TargetMode="External"/><Relationship Id="rId137" Type="http://schemas.openxmlformats.org/officeDocument/2006/relationships/hyperlink" Target="https://www.google.com/maps/search/?api=1&amp;query=South%20Shore%20YMCA%20%28Emilson%20Branch%20/%20Admin%29%2C%2075%20Mill%20St%2C%20Hanover%20MA%2002339" TargetMode="External"/><Relationship Id="rId138" Type="http://schemas.openxmlformats.org/officeDocument/2006/relationships/hyperlink" Target="https://ssymca.org/" TargetMode="External"/><Relationship Id="rId139" Type="http://schemas.openxmlformats.org/officeDocument/2006/relationships/hyperlink" Target="https://www.google.com/maps/search/?api=1&amp;query=Hingham%20Moving%20Services%2C%20285%20Circuit%20St%2C%20Hanover%20MA%2002339" TargetMode="External"/><Relationship Id="rId140" Type="http://schemas.openxmlformats.org/officeDocument/2006/relationships/hyperlink" Target="https://hinghammoving.com/" TargetMode="External"/><Relationship Id="rId141" Type="http://schemas.openxmlformats.org/officeDocument/2006/relationships/hyperlink" Target="https://www.google.com/maps/search/?api=1&amp;query=Burgopak%20USA%2C%2024%20Rockland%20St%2C%20Ste%205%2C%20Hanover%20MA%2002339" TargetMode="External"/><Relationship Id="rId142" Type="http://schemas.openxmlformats.org/officeDocument/2006/relationships/hyperlink" Target="https://burgopak.com/" TargetMode="External"/><Relationship Id="rId143" Type="http://schemas.openxmlformats.org/officeDocument/2006/relationships/hyperlink" Target="https://www.google.com/maps/search/?api=1&amp;query=Royal%20Health%20Group%2C%2042%20Winter%20St%2C%20Pembroke%20MA%2002359" TargetMode="External"/><Relationship Id="rId144" Type="http://schemas.openxmlformats.org/officeDocument/2006/relationships/hyperlink" Target="https://royalhealthgroup.com/" TargetMode="External"/><Relationship Id="rId145" Type="http://schemas.openxmlformats.org/officeDocument/2006/relationships/hyperlink" Target="https://www.google.com/maps/search/?api=1&amp;query=FMC%20Ice%20Sports%2C%20100%20Schoosett%20St%2C%20Bldg%203%2C%20Pembroke%20MA%2002359" TargetMode="External"/><Relationship Id="rId146" Type="http://schemas.openxmlformats.org/officeDocument/2006/relationships/hyperlink" Target="https://fmcicesports.com/" TargetMode="External"/><Relationship Id="rId147" Type="http://schemas.openxmlformats.org/officeDocument/2006/relationships/hyperlink" Target="https://www.google.com/maps/search/?api=1&amp;query=Thayer%20Scale%2C%2091%20Schoosett%20St%2C%20Pembroke%20MA%2002359" TargetMode="External"/><Relationship Id="rId148" Type="http://schemas.openxmlformats.org/officeDocument/2006/relationships/hyperlink" Target="https://thayerscale.com/" TargetMode="External"/><Relationship Id="rId149" Type="http://schemas.openxmlformats.org/officeDocument/2006/relationships/hyperlink" Target="https://www.google.com/maps/search/?api=1&amp;query=Nelco%20Products%2C%2022%20Riverside%20Dr%2C%20Pembroke%20MA%2002359" TargetMode="External"/><Relationship Id="rId150" Type="http://schemas.openxmlformats.org/officeDocument/2006/relationships/hyperlink" Target="https://nelcoproducts.com/" TargetMode="External"/><Relationship Id="rId151" Type="http://schemas.openxmlformats.org/officeDocument/2006/relationships/hyperlink" Target="https://www.google.com/maps/search/?api=1&amp;query=New%20England%20Village%2C%20664%20School%20St%2C%20Pembroke%20MA%2002359" TargetMode="External"/><Relationship Id="rId152" Type="http://schemas.openxmlformats.org/officeDocument/2006/relationships/hyperlink" Target="https://newenglandvillage.org/" TargetMode="External"/><Relationship Id="rId153" Type="http://schemas.openxmlformats.org/officeDocument/2006/relationships/hyperlink" Target="https://www.google.com/maps/search/?api=1&amp;query=Preferred%20Mechanical%20Services%2C%20223%20Center%20St%2C%20Pembroke%20MA%2002359" TargetMode="External"/><Relationship Id="rId154" Type="http://schemas.openxmlformats.org/officeDocument/2006/relationships/hyperlink" Target="https://preferredmechanicalservices.com/" TargetMode="External"/><Relationship Id="rId155" Type="http://schemas.openxmlformats.org/officeDocument/2006/relationships/hyperlink" Target="https://www.google.com/maps/search/?api=1&amp;query=Your%20Electrical%20Solution%2C%20345%20Washington%20St%2C%20Pembroke%20MA%2002359" TargetMode="External"/><Relationship Id="rId156" Type="http://schemas.openxmlformats.org/officeDocument/2006/relationships/hyperlink" Target="https://yourelectricalsolutions.com/" TargetMode="External"/><Relationship Id="rId157" Type="http://schemas.openxmlformats.org/officeDocument/2006/relationships/hyperlink" Target="https://www.google.com/maps/search/?api=1&amp;query=Revenue%20Solutions%20%28RSI%29%2C%2042%20Winter%20St%2C%20Ste%2036%2C%20Pembroke%20MA%2002359" TargetMode="External"/><Relationship Id="rId158" Type="http://schemas.openxmlformats.org/officeDocument/2006/relationships/hyperlink" Target="https://rsidelivers.com/" TargetMode="External"/><Relationship Id="rId159" Type="http://schemas.openxmlformats.org/officeDocument/2006/relationships/hyperlink" Target="https://www.google.com/maps/search/?api=1&amp;query=Acella%20Construction%2C%2038%20Washington%20St%2C%20Pembroke%20MA%2002359" TargetMode="External"/><Relationship Id="rId160" Type="http://schemas.openxmlformats.org/officeDocument/2006/relationships/hyperlink" Target="https://acellaconstruction.com/" TargetMode="External"/><Relationship Id="rId161" Type="http://schemas.openxmlformats.org/officeDocument/2006/relationships/hyperlink" Target="https://www.google.com/maps/search/?api=1&amp;query=Ritchie%20Navigation%2C%20243%20Oak%20St%2C%20Pembroke%20MA%2002359" TargetMode="External"/><Relationship Id="rId162" Type="http://schemas.openxmlformats.org/officeDocument/2006/relationships/hyperlink" Target="https://ritchienavigation.com/" TargetMode="External"/><Relationship Id="rId163" Type="http://schemas.openxmlformats.org/officeDocument/2006/relationships/hyperlink" Target="https://www.google.com/maps/search/?api=1&amp;query=Protectowire%20FireSystems%2C%2060%20Washington%20St%2C%20Pembroke%20MA%2002359" TargetMode="External"/><Relationship Id="rId164" Type="http://schemas.openxmlformats.org/officeDocument/2006/relationships/hyperlink" Target="https://protectowire.com/" TargetMode="External"/><Relationship Id="rId165" Type="http://schemas.openxmlformats.org/officeDocument/2006/relationships/hyperlink" Target="https://www.google.com/maps/search/?api=1&amp;query=FCI%20Ophthalmics%2C%2030%20Corporate%20Park%20Dr%2C%20Ste%20310%2C%20Pembroke%20MA%2002359" TargetMode="External"/><Relationship Id="rId166" Type="http://schemas.openxmlformats.org/officeDocument/2006/relationships/hyperlink" Target="https://fci-ophthalmics.com/" TargetMode="External"/><Relationship Id="rId167" Type="http://schemas.openxmlformats.org/officeDocument/2006/relationships/hyperlink" Target="https://www.google.com/maps/search/?api=1&amp;query=Entegee%20/%20The%20Engineering%20Department%2C%2033%20Riverside%20Dr%2C%20Pembroke%20MA%2002359" TargetMode="External"/><Relationship Id="rId168" Type="http://schemas.openxmlformats.org/officeDocument/2006/relationships/hyperlink" Target="https://entegee.com/" TargetMode="External"/><Relationship Id="rId169" Type="http://schemas.openxmlformats.org/officeDocument/2006/relationships/hyperlink" Target="https://www.google.com/maps/search/?api=1&amp;query=Horner%20Millwork%2C%2055%20Corporate%20Park%20Dr%2C%20Ste%201%2C%20Pembroke%20MA%2002359" TargetMode="External"/><Relationship Id="rId170" Type="http://schemas.openxmlformats.org/officeDocument/2006/relationships/hyperlink" Target="https://hornermillwork.com/" TargetMode="External"/><Relationship Id="rId171" Type="http://schemas.openxmlformats.org/officeDocument/2006/relationships/hyperlink" Target="https://www.google.com/maps/search/?api=1&amp;query=Markings%20Inc%2C%2030%20Riverside%20Dr%2C%20Pembroke%20MA%2002359" TargetMode="External"/><Relationship Id="rId172" Type="http://schemas.openxmlformats.org/officeDocument/2006/relationships/hyperlink" Target="https://markingsinc.com/" TargetMode="External"/><Relationship Id="rId173" Type="http://schemas.openxmlformats.org/officeDocument/2006/relationships/hyperlink" Target="https://www.google.com/maps/search/?api=1&amp;query=Peak%20Mechanical%20Services%2C%2035%20Corporate%20Park%20Dr%2C%20Ste%202%2C%20Pembroke%20MA%2002359" TargetMode="External"/><Relationship Id="rId174" Type="http://schemas.openxmlformats.org/officeDocument/2006/relationships/hyperlink" Target="https://peakmechanicalservices.com/" TargetMode="External"/><Relationship Id="rId175" Type="http://schemas.openxmlformats.org/officeDocument/2006/relationships/hyperlink" Target="https://www.google.com/maps/search/?api=1&amp;query=Charm%20Medical%20Supply%2C%2033%20Riverside%20Dr%2C%20Ste%20200%2C%20Pembroke%20MA%2002359" TargetMode="External"/><Relationship Id="rId176" Type="http://schemas.openxmlformats.org/officeDocument/2006/relationships/hyperlink" Target="https://charmmedical.com/" TargetMode="External"/><Relationship Id="rId177" Type="http://schemas.openxmlformats.org/officeDocument/2006/relationships/hyperlink" Target="https://www.google.com/maps/search/?api=1&amp;query=Cadete%20Enterprises%2C%2012%20Riverside%20Dr%2C%20Pembroke%20MA%2002359" TargetMode="External"/><Relationship Id="rId178" Type="http://schemas.openxmlformats.org/officeDocument/2006/relationships/hyperlink" Target="https://cadeteenterprises.com/" TargetMode="External"/><Relationship Id="rId179" Type="http://schemas.openxmlformats.org/officeDocument/2006/relationships/hyperlink" Target="https://www.google.com/maps/search/?api=1&amp;query=JLC%20Tech%2C%20370%20Corporate%20Park%20Dr%2C%20Pembroke%20MA%2002359" TargetMode="External"/><Relationship Id="rId180" Type="http://schemas.openxmlformats.org/officeDocument/2006/relationships/hyperlink" Target="https://jlc-tech.com/" TargetMode="External"/><Relationship Id="rId181" Type="http://schemas.openxmlformats.org/officeDocument/2006/relationships/hyperlink" Target="https://www.google.com/maps/search/?api=1&amp;query=T%26K%20Asphalt%20Services%2C%207%20Industrial%20Way%2C%20Whitman%20MA%2002382" TargetMode="External"/><Relationship Id="rId182" Type="http://schemas.openxmlformats.org/officeDocument/2006/relationships/hyperlink" Target="https://tkasphalt.com/" TargetMode="External"/><Relationship Id="rId183" Type="http://schemas.openxmlformats.org/officeDocument/2006/relationships/hyperlink" Target="https://www.google.com/maps/search/?api=1&amp;query=Cape%20Cod%20Lumber%2C%20225%20Groveland%20St%2C%20Abington%20MA%2002351" TargetMode="External"/><Relationship Id="rId184" Type="http://schemas.openxmlformats.org/officeDocument/2006/relationships/hyperlink" Target="https://capecodlumber.com/" TargetMode="External"/><Relationship Id="rId185" Type="http://schemas.openxmlformats.org/officeDocument/2006/relationships/hyperlink" Target="https://www.google.com/maps/search/?api=1&amp;query=Southeastern%20ABA%2C%20116%20Helen%20Dr%2C%20Hanson%20MA%2002341" TargetMode="External"/><Relationship Id="rId186" Type="http://schemas.openxmlformats.org/officeDocument/2006/relationships/hyperlink" Target="https://southeasternaba.com/" TargetMode="External"/><Relationship Id="rId187" Type="http://schemas.openxmlformats.org/officeDocument/2006/relationships/hyperlink" Target="https://www.google.com/maps/search/?api=1&amp;query=Sullivan%27s%20Inc%2C%20121%20Franklin%20St%2C%20Hanson%20MA%2002341" TargetMode="External"/><Relationship Id="rId188" Type="http://schemas.openxmlformats.org/officeDocument/2006/relationships/hyperlink" Target="https://sullivansusa.com/" TargetMode="External"/><Relationship Id="rId189" Type="http://schemas.openxmlformats.org/officeDocument/2006/relationships/hyperlink" Target="https://www.google.com/maps/search/?api=1&amp;query=Seoane%20Landscape%20Design%2C%20551%20Bedford%20St%2C%20Abington%20MA%2002351" TargetMode="External"/><Relationship Id="rId190" Type="http://schemas.openxmlformats.org/officeDocument/2006/relationships/hyperlink" Target="https://seoanelandscape.com/" TargetMode="External"/><Relationship Id="rId191" Type="http://schemas.openxmlformats.org/officeDocument/2006/relationships/hyperlink" Target="https://www.google.com/maps/search/?api=1&amp;query=Whitman%20Company%2C%20356%20South%20Ave%2C%20Whitman%20MA%2002382" TargetMode="External"/><Relationship Id="rId192" Type="http://schemas.openxmlformats.org/officeDocument/2006/relationships/hyperlink" Target="https://whitman-company.com/" TargetMode="External"/><Relationship Id="rId193" Type="http://schemas.openxmlformats.org/officeDocument/2006/relationships/hyperlink" Target="https://www.google.com/maps/search/?api=1&amp;query=Defense%20Investigators%20Group%2C%20PO%20Box%20119%20%28call%20ahead%29%2C%20Hanson%20MA%2002341" TargetMode="External"/><Relationship Id="rId194" Type="http://schemas.openxmlformats.org/officeDocument/2006/relationships/hyperlink" Target="https://defenseinvestigatorsgroup.com/" TargetMode="External"/><Relationship Id="rId195" Type="http://schemas.openxmlformats.org/officeDocument/2006/relationships/hyperlink" Target="https://www.google.com/maps/search/?api=1&amp;query=Walsh%20Mechanical%20Contractors%2C%20380%20North%20Ave%2C%20Abington%20MA%2002351" TargetMode="External"/><Relationship Id="rId196" Type="http://schemas.openxmlformats.org/officeDocument/2006/relationships/hyperlink" Target="https://walshmechanical.com/" TargetMode="External"/><Relationship Id="rId197" Type="http://schemas.openxmlformats.org/officeDocument/2006/relationships/hyperlink" Target="https://www.google.com/maps/search/?api=1&amp;query=Webster%20Printing%2C%201069%20W%20Washington%20St%2C%20Hanson%20MA%2002341" TargetMode="External"/><Relationship Id="rId198" Type="http://schemas.openxmlformats.org/officeDocument/2006/relationships/hyperlink" Target="https://websterprinting.com/" TargetMode="External"/><Relationship Id="rId199" Type="http://schemas.openxmlformats.org/officeDocument/2006/relationships/hyperlink" Target="https://www.google.com/maps/search/?api=1&amp;query=Whitman%20Tool%20%26%20Die%2C%2072%20Raynor%20Ave%2C%20Whitman%20MA%2002382" TargetMode="External"/><Relationship Id="rId200" Type="http://schemas.openxmlformats.org/officeDocument/2006/relationships/hyperlink" Target="https://whitmantoolanddie.com/" TargetMode="External"/><Relationship Id="rId201" Type="http://schemas.openxmlformats.org/officeDocument/2006/relationships/hyperlink" Target="https://www.google.com/maps/search/?api=1&amp;query=President%20Titanium%2C%20243%20Franklin%20St%2C%20Hanson%20MA%2002341" TargetMode="External"/><Relationship Id="rId202" Type="http://schemas.openxmlformats.org/officeDocument/2006/relationships/hyperlink" Target="https://presidenttitanium.com/" TargetMode="External"/><Relationship Id="rId203" Type="http://schemas.openxmlformats.org/officeDocument/2006/relationships/hyperlink" Target="https://www.google.com/maps/search/?api=1&amp;query=Clean%20Systems%20of%20America%2C%20162%20Industrial%20Blvd%2C%20Ste%204%2C%20Hanson%20MA%2002341" TargetMode="External"/><Relationship Id="rId204" Type="http://schemas.openxmlformats.org/officeDocument/2006/relationships/hyperlink" Target="https://clean-systems.com/" TargetMode="External"/><Relationship Id="rId205" Type="http://schemas.openxmlformats.org/officeDocument/2006/relationships/hyperlink" Target="https://www.google.com/maps/search/?api=1&amp;query=Angels%20Healthcare%20Companies%2C%20536%20Washington%20St%2C%20Abington%20MA%2002351" TargetMode="External"/><Relationship Id="rId206" Type="http://schemas.openxmlformats.org/officeDocument/2006/relationships/hyperlink" Target="https://angelshealthcare.com/" TargetMode="External"/><Relationship Id="rId207" Type="http://schemas.openxmlformats.org/officeDocument/2006/relationships/hyperlink" Target="https://www.google.com/maps/search/?api=1&amp;query=Bay%20State%20Physical%20Therapy%2C%20703%20Granite%20St%2C%20Ste%20300%2C%20Braintree%20MA%2002184" TargetMode="External"/><Relationship Id="rId208" Type="http://schemas.openxmlformats.org/officeDocument/2006/relationships/hyperlink" Target="https://baystatept.com/" TargetMode="External"/><Relationship Id="rId20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16161"/>
    <pageSetUpPr fitToPage="false"/>
  </sheetPr>
  <dimension ref="B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4"/>
    <col collapsed="false" customWidth="true" hidden="false" outlineLevel="0" max="7" min="7" style="0" width="4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5" t="s">
        <v>7</v>
      </c>
      <c r="C10" s="6" t="s">
        <v>8</v>
      </c>
    </row>
    <row r="11" customFormat="false" ht="15" hidden="false" customHeight="false" outlineLevel="0" collapsed="false">
      <c r="B11" s="7" t="s">
        <v>9</v>
      </c>
      <c r="C11" s="6" t="s">
        <v>10</v>
      </c>
    </row>
    <row r="12" customFormat="false" ht="15" hidden="false" customHeight="false" outlineLevel="0" collapsed="false">
      <c r="B12" s="8" t="s">
        <v>11</v>
      </c>
      <c r="C12" s="6" t="s">
        <v>12</v>
      </c>
    </row>
    <row r="14" customFormat="false" ht="15" hidden="false" customHeight="false" outlineLevel="0" collapsed="false">
      <c r="B14" s="3" t="s">
        <v>13</v>
      </c>
    </row>
    <row r="15" customFormat="false" ht="15" hidden="false" customHeight="false" outlineLevel="0" collapsed="false">
      <c r="B15" s="6" t="s">
        <v>14</v>
      </c>
      <c r="C15" s="9" t="n">
        <f aca="false">COUNTA('Target List'!$C$2:$C$105)</f>
        <v>104</v>
      </c>
    </row>
    <row r="16" customFormat="false" ht="15" hidden="false" customHeight="false" outlineLevel="0" collapsed="false">
      <c r="B16" s="6" t="s">
        <v>15</v>
      </c>
      <c r="C16" s="9" t="n">
        <f aca="false">COUNTIF('Target List'!$A$2:$A$105,"A")</f>
        <v>29</v>
      </c>
    </row>
    <row r="17" customFormat="false" ht="15" hidden="false" customHeight="false" outlineLevel="0" collapsed="false">
      <c r="B17" s="6" t="s">
        <v>16</v>
      </c>
      <c r="C17" s="9" t="n">
        <f aca="false">COUNTIF('Target List'!$A$2:$A$105,"B")</f>
        <v>45</v>
      </c>
    </row>
    <row r="18" customFormat="false" ht="15" hidden="false" customHeight="false" outlineLevel="0" collapsed="false">
      <c r="B18" s="6" t="s">
        <v>17</v>
      </c>
      <c r="C18" s="9" t="n">
        <f aca="false">COUNTIF('Target List'!$A$2:$A$105,"C")</f>
        <v>30</v>
      </c>
    </row>
    <row r="19" customFormat="false" ht="15" hidden="false" customHeight="false" outlineLevel="0" collapsed="false">
      <c r="B19" s="6" t="s">
        <v>18</v>
      </c>
      <c r="C19" s="9" t="n">
        <f aca="false">COUNTIF('Target List'!$H$2:$H$105,"?*")</f>
        <v>36</v>
      </c>
    </row>
    <row r="20" customFormat="false" ht="15" hidden="false" customHeight="false" outlineLevel="0" collapsed="false">
      <c r="B20" s="6" t="s">
        <v>19</v>
      </c>
      <c r="C20" s="9" t="n">
        <f aca="false">COUNTIF('Target List'!$I$2:$I$105,"?*")</f>
        <v>77</v>
      </c>
    </row>
    <row r="22" customFormat="false" ht="15" hidden="false" customHeight="false" outlineLevel="0" collapsed="false">
      <c r="B22" s="3" t="s">
        <v>20</v>
      </c>
    </row>
    <row r="23" customFormat="false" ht="15" hidden="false" customHeight="false" outlineLevel="0" collapsed="false">
      <c r="B23" s="4" t="s">
        <v>21</v>
      </c>
    </row>
    <row r="24" customFormat="false" ht="15" hidden="false" customHeight="false" outlineLevel="0" collapsed="false">
      <c r="C24" s="10" t="s">
        <v>22</v>
      </c>
      <c r="D24" s="10" t="s">
        <v>23</v>
      </c>
      <c r="E24" s="10" t="s">
        <v>24</v>
      </c>
    </row>
    <row r="25" customFormat="false" ht="15" hidden="false" customHeight="false" outlineLevel="0" collapsed="false">
      <c r="C25" s="11" t="s">
        <v>25</v>
      </c>
      <c r="D25" s="12" t="s">
        <v>26</v>
      </c>
      <c r="E25" s="11" t="s">
        <v>27</v>
      </c>
    </row>
    <row r="27" customFormat="false" ht="15" hidden="false" customHeight="false" outlineLevel="0" collapsed="false">
      <c r="B27" s="3" t="s">
        <v>28</v>
      </c>
    </row>
    <row r="28" customFormat="false" ht="15" hidden="false" customHeight="false" outlineLevel="0" collapsed="false">
      <c r="B28" s="4" t="s">
        <v>29</v>
      </c>
    </row>
    <row r="29" customFormat="false" ht="15" hidden="false" customHeight="false" outlineLevel="0" collapsed="false">
      <c r="B29" s="4" t="s">
        <v>30</v>
      </c>
    </row>
    <row r="30" customFormat="false" ht="15" hidden="false" customHeight="false" outlineLevel="0" collapsed="false">
      <c r="B30" s="4" t="s">
        <v>31</v>
      </c>
    </row>
    <row r="31" customFormat="false" ht="15" hidden="false" customHeight="false" outlineLevel="0" collapsed="false">
      <c r="B31" s="4" t="s">
        <v>32</v>
      </c>
    </row>
    <row r="32" customFormat="false" ht="15" hidden="false" customHeight="false" outlineLevel="0" collapsed="false">
      <c r="B3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U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5"/>
    <col collapsed="false" customWidth="true" hidden="false" outlineLevel="0" max="2" min="2" style="0" width="27"/>
    <col collapsed="false" customWidth="true" hidden="false" outlineLevel="0" max="3" min="3" style="0" width="30"/>
    <col collapsed="false" customWidth="true" hidden="false" outlineLevel="0" max="4" min="4" style="0" width="33"/>
    <col collapsed="false" customWidth="true" hidden="false" outlineLevel="0" max="5" min="5" style="0" width="27"/>
    <col collapsed="false" customWidth="true" hidden="false" outlineLevel="0" max="6" min="6" style="0" width="10.5"/>
    <col collapsed="false" customWidth="true" hidden="false" outlineLevel="0" max="7" min="7" style="0" width="14.5"/>
    <col collapsed="false" customWidth="true" hidden="false" outlineLevel="0" max="9" min="8" style="0" width="28"/>
    <col collapsed="false" customWidth="true" hidden="false" outlineLevel="0" max="10" min="10" style="0" width="46"/>
    <col collapsed="false" customWidth="true" hidden="false" outlineLevel="0" max="11" min="11" style="0" width="7.5"/>
    <col collapsed="false" customWidth="true" hidden="false" outlineLevel="0" max="13" min="13" style="0" width="8"/>
    <col collapsed="false" customWidth="true" hidden="false" outlineLevel="0" max="15" min="14" style="0" width="21"/>
    <col collapsed="false" customWidth="true" hidden="false" outlineLevel="0" max="16" min="16" style="0" width="34"/>
    <col collapsed="false" customWidth="true" hidden="false" outlineLevel="0" max="17" min="17" style="0" width="15"/>
    <col collapsed="false" customWidth="true" hidden="false" outlineLevel="0" max="18" min="18" style="0" width="11"/>
    <col collapsed="false" customWidth="true" hidden="false" outlineLevel="0" max="19" min="19" style="0" width="22"/>
    <col collapsed="false" customWidth="true" hidden="false" outlineLevel="0" max="20" min="20" style="0" width="7"/>
    <col collapsed="false" customWidth="true" hidden="false" outlineLevel="0" max="21" min="21" style="0" width="11"/>
  </cols>
  <sheetData>
    <row r="1" customFormat="false" ht="30" hidden="false" customHeight="true" outlineLevel="0" collapsed="false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22</v>
      </c>
      <c r="R1" s="13" t="s">
        <v>23</v>
      </c>
      <c r="S1" s="13" t="s">
        <v>24</v>
      </c>
      <c r="T1" s="13" t="s">
        <v>50</v>
      </c>
      <c r="U1" s="13" t="s">
        <v>51</v>
      </c>
    </row>
    <row r="2" customFormat="false" ht="39.75" hidden="false" customHeight="true" outlineLevel="0" collapsed="false">
      <c r="A2" s="14" t="s">
        <v>7</v>
      </c>
      <c r="B2" s="15" t="s">
        <v>52</v>
      </c>
      <c r="C2" s="16" t="s">
        <v>53</v>
      </c>
      <c r="D2" s="16" t="s">
        <v>54</v>
      </c>
      <c r="E2" s="17" t="s">
        <v>55</v>
      </c>
      <c r="F2" s="15" t="s">
        <v>56</v>
      </c>
      <c r="G2" s="15" t="s">
        <v>57</v>
      </c>
      <c r="H2" s="16"/>
      <c r="I2" s="16" t="s">
        <v>58</v>
      </c>
      <c r="J2" s="16" t="s">
        <v>59</v>
      </c>
      <c r="K2" s="18" t="n">
        <v>97</v>
      </c>
      <c r="L2" s="19" t="n">
        <v>26372000</v>
      </c>
      <c r="M2" s="20" t="n">
        <v>1998</v>
      </c>
      <c r="N2" s="16" t="s">
        <v>60</v>
      </c>
      <c r="O2" s="21" t="s">
        <v>61</v>
      </c>
      <c r="P2" s="16" t="s">
        <v>62</v>
      </c>
      <c r="Q2" s="22" t="s">
        <v>63</v>
      </c>
      <c r="R2" s="23"/>
      <c r="S2" s="24"/>
      <c r="T2" s="15" t="s">
        <v>64</v>
      </c>
      <c r="U2" s="15" t="n">
        <v>19993081</v>
      </c>
    </row>
    <row r="3" customFormat="false" ht="39.75" hidden="false" customHeight="true" outlineLevel="0" collapsed="false">
      <c r="A3" s="14" t="s">
        <v>7</v>
      </c>
      <c r="B3" s="15" t="s">
        <v>52</v>
      </c>
      <c r="C3" s="16" t="s">
        <v>65</v>
      </c>
      <c r="D3" s="16" t="s">
        <v>66</v>
      </c>
      <c r="E3" s="17" t="s">
        <v>67</v>
      </c>
      <c r="F3" s="15" t="s">
        <v>56</v>
      </c>
      <c r="G3" s="15" t="s">
        <v>68</v>
      </c>
      <c r="H3" s="16" t="s">
        <v>69</v>
      </c>
      <c r="I3" s="16" t="s">
        <v>70</v>
      </c>
      <c r="J3" s="16" t="s">
        <v>71</v>
      </c>
      <c r="K3" s="18" t="n">
        <v>85</v>
      </c>
      <c r="L3" s="19" t="n">
        <v>17855000</v>
      </c>
      <c r="M3" s="20" t="n">
        <v>2014</v>
      </c>
      <c r="N3" s="16"/>
      <c r="O3" s="21" t="s">
        <v>72</v>
      </c>
      <c r="P3" s="16" t="s">
        <v>73</v>
      </c>
      <c r="Q3" s="22" t="s">
        <v>63</v>
      </c>
      <c r="R3" s="23"/>
      <c r="S3" s="24"/>
      <c r="T3" s="15" t="s">
        <v>64</v>
      </c>
      <c r="U3" s="15" t="n">
        <v>461888001</v>
      </c>
    </row>
    <row r="4" customFormat="false" ht="39.75" hidden="false" customHeight="true" outlineLevel="0" collapsed="false">
      <c r="A4" s="25" t="s">
        <v>9</v>
      </c>
      <c r="B4" s="15" t="s">
        <v>52</v>
      </c>
      <c r="C4" s="16" t="s">
        <v>74</v>
      </c>
      <c r="D4" s="16" t="s">
        <v>75</v>
      </c>
      <c r="E4" s="17" t="s">
        <v>76</v>
      </c>
      <c r="F4" s="15" t="s">
        <v>56</v>
      </c>
      <c r="G4" s="15" t="s">
        <v>77</v>
      </c>
      <c r="H4" s="16" t="s">
        <v>78</v>
      </c>
      <c r="I4" s="16" t="s">
        <v>79</v>
      </c>
      <c r="J4" s="16" t="s">
        <v>80</v>
      </c>
      <c r="K4" s="18" t="n">
        <v>320</v>
      </c>
      <c r="L4" s="19" t="n">
        <v>58320000</v>
      </c>
      <c r="M4" s="20" t="n">
        <v>1980</v>
      </c>
      <c r="N4" s="16"/>
      <c r="O4" s="21" t="s">
        <v>81</v>
      </c>
      <c r="P4" s="16" t="s">
        <v>82</v>
      </c>
      <c r="Q4" s="22" t="s">
        <v>63</v>
      </c>
      <c r="R4" s="23"/>
      <c r="S4" s="24"/>
      <c r="T4" s="15" t="s">
        <v>64</v>
      </c>
      <c r="U4" s="15" t="n">
        <v>7012563</v>
      </c>
    </row>
    <row r="5" customFormat="false" ht="39.75" hidden="false" customHeight="true" outlineLevel="0" collapsed="false">
      <c r="A5" s="25" t="s">
        <v>9</v>
      </c>
      <c r="B5" s="15" t="s">
        <v>52</v>
      </c>
      <c r="C5" s="16" t="s">
        <v>83</v>
      </c>
      <c r="D5" s="16" t="s">
        <v>84</v>
      </c>
      <c r="E5" s="17" t="s">
        <v>85</v>
      </c>
      <c r="F5" s="15" t="s">
        <v>56</v>
      </c>
      <c r="G5" s="15" t="s">
        <v>86</v>
      </c>
      <c r="H5" s="16" t="s">
        <v>87</v>
      </c>
      <c r="I5" s="16" t="s">
        <v>88</v>
      </c>
      <c r="J5" s="16" t="s">
        <v>89</v>
      </c>
      <c r="K5" s="18" t="n">
        <v>74</v>
      </c>
      <c r="L5" s="19" t="n">
        <v>9809000</v>
      </c>
      <c r="M5" s="20" t="n">
        <v>1999</v>
      </c>
      <c r="N5" s="16"/>
      <c r="O5" s="21" t="s">
        <v>90</v>
      </c>
      <c r="P5" s="16" t="s">
        <v>91</v>
      </c>
      <c r="Q5" s="22" t="s">
        <v>63</v>
      </c>
      <c r="R5" s="23"/>
      <c r="S5" s="24"/>
      <c r="T5" s="15" t="s">
        <v>64</v>
      </c>
      <c r="U5" s="15" t="n">
        <v>9470939</v>
      </c>
    </row>
    <row r="6" customFormat="false" ht="39.75" hidden="false" customHeight="true" outlineLevel="0" collapsed="false">
      <c r="A6" s="25" t="s">
        <v>9</v>
      </c>
      <c r="B6" s="15" t="s">
        <v>52</v>
      </c>
      <c r="C6" s="16" t="s">
        <v>92</v>
      </c>
      <c r="D6" s="16" t="s">
        <v>93</v>
      </c>
      <c r="E6" s="17" t="s">
        <v>94</v>
      </c>
      <c r="F6" s="15" t="s">
        <v>56</v>
      </c>
      <c r="G6" s="15" t="s">
        <v>95</v>
      </c>
      <c r="H6" s="16"/>
      <c r="I6" s="16"/>
      <c r="J6" s="16" t="s">
        <v>96</v>
      </c>
      <c r="K6" s="18" t="n">
        <v>27</v>
      </c>
      <c r="L6" s="19" t="n">
        <v>5377000</v>
      </c>
      <c r="M6" s="20" t="n">
        <v>1997</v>
      </c>
      <c r="N6" s="16"/>
      <c r="O6" s="21" t="s">
        <v>97</v>
      </c>
      <c r="P6" s="16" t="s">
        <v>98</v>
      </c>
      <c r="Q6" s="22" t="s">
        <v>63</v>
      </c>
      <c r="R6" s="23"/>
      <c r="S6" s="24"/>
      <c r="T6" s="15" t="s">
        <v>64</v>
      </c>
      <c r="U6" s="15" t="n">
        <v>44551959</v>
      </c>
    </row>
    <row r="7" customFormat="false" ht="39.75" hidden="false" customHeight="true" outlineLevel="0" collapsed="false">
      <c r="A7" s="26" t="s">
        <v>11</v>
      </c>
      <c r="B7" s="15" t="s">
        <v>52</v>
      </c>
      <c r="C7" s="16" t="s">
        <v>99</v>
      </c>
      <c r="D7" s="16" t="s">
        <v>100</v>
      </c>
      <c r="E7" s="17" t="s">
        <v>101</v>
      </c>
      <c r="F7" s="15" t="s">
        <v>56</v>
      </c>
      <c r="G7" s="15" t="s">
        <v>102</v>
      </c>
      <c r="H7" s="16" t="s">
        <v>103</v>
      </c>
      <c r="I7" s="16"/>
      <c r="J7" s="16" t="s">
        <v>104</v>
      </c>
      <c r="K7" s="18" t="n">
        <v>2105</v>
      </c>
      <c r="L7" s="19" t="n">
        <v>758493000</v>
      </c>
      <c r="M7" s="20" t="n">
        <v>1981</v>
      </c>
      <c r="N7" s="16" t="s">
        <v>105</v>
      </c>
      <c r="O7" s="21" t="s">
        <v>106</v>
      </c>
      <c r="P7" s="16" t="s">
        <v>107</v>
      </c>
      <c r="Q7" s="22" t="s">
        <v>63</v>
      </c>
      <c r="R7" s="23"/>
      <c r="S7" s="24"/>
      <c r="T7" s="15" t="s">
        <v>64</v>
      </c>
      <c r="U7" s="15" t="n">
        <v>92047565</v>
      </c>
    </row>
    <row r="8" customFormat="false" ht="39.75" hidden="false" customHeight="true" outlineLevel="0" collapsed="false">
      <c r="A8" s="26" t="s">
        <v>11</v>
      </c>
      <c r="B8" s="15" t="s">
        <v>52</v>
      </c>
      <c r="C8" s="16" t="s">
        <v>108</v>
      </c>
      <c r="D8" s="16" t="s">
        <v>109</v>
      </c>
      <c r="E8" s="17" t="s">
        <v>110</v>
      </c>
      <c r="F8" s="15" t="s">
        <v>56</v>
      </c>
      <c r="G8" s="15" t="s">
        <v>111</v>
      </c>
      <c r="H8" s="16" t="s">
        <v>112</v>
      </c>
      <c r="I8" s="16" t="s">
        <v>113</v>
      </c>
      <c r="J8" s="16" t="s">
        <v>114</v>
      </c>
      <c r="K8" s="18" t="n">
        <v>40</v>
      </c>
      <c r="L8" s="19" t="n">
        <v>3149000</v>
      </c>
      <c r="M8" s="20" t="n">
        <v>2008</v>
      </c>
      <c r="N8" s="16" t="s">
        <v>115</v>
      </c>
      <c r="O8" s="21" t="s">
        <v>116</v>
      </c>
      <c r="P8" s="16" t="s">
        <v>117</v>
      </c>
      <c r="Q8" s="22" t="s">
        <v>63</v>
      </c>
      <c r="R8" s="23"/>
      <c r="S8" s="24"/>
      <c r="T8" s="15" t="s">
        <v>64</v>
      </c>
      <c r="U8" s="15" t="n">
        <v>27002672</v>
      </c>
    </row>
    <row r="9" customFormat="false" ht="39.75" hidden="false" customHeight="true" outlineLevel="0" collapsed="false">
      <c r="A9" s="14" t="s">
        <v>7</v>
      </c>
      <c r="B9" s="15" t="s">
        <v>118</v>
      </c>
      <c r="C9" s="16" t="s">
        <v>119</v>
      </c>
      <c r="D9" s="16" t="s">
        <v>120</v>
      </c>
      <c r="E9" s="17" t="s">
        <v>121</v>
      </c>
      <c r="F9" s="15" t="s">
        <v>56</v>
      </c>
      <c r="G9" s="15" t="s">
        <v>122</v>
      </c>
      <c r="H9" s="16" t="s">
        <v>123</v>
      </c>
      <c r="I9" s="16" t="s">
        <v>124</v>
      </c>
      <c r="J9" s="16" t="s">
        <v>125</v>
      </c>
      <c r="K9" s="18" t="n">
        <v>297</v>
      </c>
      <c r="L9" s="19" t="n">
        <v>73741000</v>
      </c>
      <c r="M9" s="20" t="n">
        <v>1922</v>
      </c>
      <c r="N9" s="16"/>
      <c r="O9" s="21" t="s">
        <v>126</v>
      </c>
      <c r="P9" s="16" t="s">
        <v>127</v>
      </c>
      <c r="Q9" s="22" t="s">
        <v>63</v>
      </c>
      <c r="R9" s="23"/>
      <c r="S9" s="24"/>
      <c r="T9" s="15" t="s">
        <v>64</v>
      </c>
      <c r="U9" s="15" t="n">
        <v>59785848</v>
      </c>
    </row>
    <row r="10" customFormat="false" ht="39.75" hidden="false" customHeight="true" outlineLevel="0" collapsed="false">
      <c r="A10" s="14" t="s">
        <v>7</v>
      </c>
      <c r="B10" s="15" t="s">
        <v>118</v>
      </c>
      <c r="C10" s="16" t="s">
        <v>128</v>
      </c>
      <c r="D10" s="16" t="s">
        <v>129</v>
      </c>
      <c r="E10" s="17" t="s">
        <v>130</v>
      </c>
      <c r="F10" s="15" t="s">
        <v>56</v>
      </c>
      <c r="G10" s="15" t="s">
        <v>131</v>
      </c>
      <c r="H10" s="16" t="s">
        <v>132</v>
      </c>
      <c r="I10" s="16" t="s">
        <v>133</v>
      </c>
      <c r="J10" s="16" t="s">
        <v>134</v>
      </c>
      <c r="K10" s="18" t="n">
        <v>136</v>
      </c>
      <c r="L10" s="19" t="n">
        <v>21613000</v>
      </c>
      <c r="M10" s="20" t="n">
        <v>2006</v>
      </c>
      <c r="N10" s="16"/>
      <c r="O10" s="21" t="s">
        <v>135</v>
      </c>
      <c r="P10" s="16" t="s">
        <v>136</v>
      </c>
      <c r="Q10" s="22" t="s">
        <v>63</v>
      </c>
      <c r="R10" s="23"/>
      <c r="S10" s="24"/>
      <c r="T10" s="15" t="s">
        <v>64</v>
      </c>
      <c r="U10" s="15" t="n">
        <v>353910475</v>
      </c>
    </row>
    <row r="11" customFormat="false" ht="39.75" hidden="false" customHeight="true" outlineLevel="0" collapsed="false">
      <c r="A11" s="14" t="s">
        <v>7</v>
      </c>
      <c r="B11" s="15" t="s">
        <v>118</v>
      </c>
      <c r="C11" s="16" t="s">
        <v>137</v>
      </c>
      <c r="D11" s="16" t="s">
        <v>138</v>
      </c>
      <c r="E11" s="17" t="s">
        <v>139</v>
      </c>
      <c r="F11" s="15" t="s">
        <v>56</v>
      </c>
      <c r="G11" s="15" t="s">
        <v>140</v>
      </c>
      <c r="H11" s="16" t="s">
        <v>141</v>
      </c>
      <c r="I11" s="16" t="s">
        <v>142</v>
      </c>
      <c r="J11" s="16" t="s">
        <v>143</v>
      </c>
      <c r="K11" s="18" t="n">
        <v>103</v>
      </c>
      <c r="L11" s="19" t="n">
        <v>26997000</v>
      </c>
      <c r="M11" s="20" t="n">
        <v>1979</v>
      </c>
      <c r="N11" s="16"/>
      <c r="O11" s="21" t="s">
        <v>144</v>
      </c>
      <c r="P11" s="16" t="s">
        <v>145</v>
      </c>
      <c r="Q11" s="22" t="s">
        <v>63</v>
      </c>
      <c r="R11" s="23"/>
      <c r="S11" s="24"/>
      <c r="T11" s="15" t="s">
        <v>64</v>
      </c>
      <c r="U11" s="15" t="n">
        <v>343688307</v>
      </c>
    </row>
    <row r="12" customFormat="false" ht="39.75" hidden="false" customHeight="true" outlineLevel="0" collapsed="false">
      <c r="A12" s="14" t="s">
        <v>7</v>
      </c>
      <c r="B12" s="15" t="s">
        <v>118</v>
      </c>
      <c r="C12" s="16" t="s">
        <v>146</v>
      </c>
      <c r="D12" s="16" t="s">
        <v>147</v>
      </c>
      <c r="E12" s="17" t="s">
        <v>148</v>
      </c>
      <c r="F12" s="15" t="s">
        <v>56</v>
      </c>
      <c r="G12" s="15" t="s">
        <v>149</v>
      </c>
      <c r="H12" s="16"/>
      <c r="I12" s="16" t="s">
        <v>150</v>
      </c>
      <c r="J12" s="16" t="s">
        <v>151</v>
      </c>
      <c r="K12" s="18" t="n">
        <v>80</v>
      </c>
      <c r="L12" s="19" t="n">
        <v>30145000</v>
      </c>
      <c r="M12" s="20" t="n">
        <v>1958</v>
      </c>
      <c r="N12" s="16"/>
      <c r="O12" s="21" t="s">
        <v>152</v>
      </c>
      <c r="P12" s="16" t="s">
        <v>153</v>
      </c>
      <c r="Q12" s="22" t="s">
        <v>63</v>
      </c>
      <c r="R12" s="23"/>
      <c r="S12" s="24"/>
      <c r="T12" s="15" t="s">
        <v>64</v>
      </c>
      <c r="U12" s="15" t="n">
        <v>17159799</v>
      </c>
    </row>
    <row r="13" customFormat="false" ht="39.75" hidden="false" customHeight="true" outlineLevel="0" collapsed="false">
      <c r="A13" s="14" t="s">
        <v>7</v>
      </c>
      <c r="B13" s="15" t="s">
        <v>118</v>
      </c>
      <c r="C13" s="16" t="s">
        <v>154</v>
      </c>
      <c r="D13" s="16" t="s">
        <v>155</v>
      </c>
      <c r="E13" s="17" t="s">
        <v>156</v>
      </c>
      <c r="F13" s="15" t="s">
        <v>56</v>
      </c>
      <c r="G13" s="15" t="s">
        <v>157</v>
      </c>
      <c r="H13" s="16"/>
      <c r="I13" s="16"/>
      <c r="J13" s="16" t="s">
        <v>158</v>
      </c>
      <c r="K13" s="18" t="n">
        <v>48</v>
      </c>
      <c r="L13" s="19" t="n">
        <v>13780000</v>
      </c>
      <c r="M13" s="20" t="n">
        <v>1977</v>
      </c>
      <c r="N13" s="16"/>
      <c r="O13" s="21" t="s">
        <v>159</v>
      </c>
      <c r="P13" s="16"/>
      <c r="Q13" s="22" t="s">
        <v>63</v>
      </c>
      <c r="R13" s="23"/>
      <c r="S13" s="24"/>
      <c r="T13" s="15" t="s">
        <v>64</v>
      </c>
      <c r="U13" s="15" t="n">
        <v>353777346</v>
      </c>
    </row>
    <row r="14" customFormat="false" ht="39.75" hidden="false" customHeight="true" outlineLevel="0" collapsed="false">
      <c r="A14" s="25" t="s">
        <v>9</v>
      </c>
      <c r="B14" s="15" t="s">
        <v>118</v>
      </c>
      <c r="C14" s="16" t="s">
        <v>160</v>
      </c>
      <c r="D14" s="16" t="s">
        <v>161</v>
      </c>
      <c r="E14" s="17" t="s">
        <v>162</v>
      </c>
      <c r="F14" s="15" t="s">
        <v>56</v>
      </c>
      <c r="G14" s="15" t="s">
        <v>163</v>
      </c>
      <c r="H14" s="16"/>
      <c r="I14" s="16" t="s">
        <v>164</v>
      </c>
      <c r="J14" s="16" t="s">
        <v>165</v>
      </c>
      <c r="K14" s="18" t="n">
        <v>104</v>
      </c>
      <c r="L14" s="19" t="n">
        <v>24829000</v>
      </c>
      <c r="M14" s="20" t="n">
        <v>1982</v>
      </c>
      <c r="N14" s="16"/>
      <c r="O14" s="21" t="s">
        <v>166</v>
      </c>
      <c r="P14" s="16" t="s">
        <v>167</v>
      </c>
      <c r="Q14" s="22" t="s">
        <v>63</v>
      </c>
      <c r="R14" s="23"/>
      <c r="S14" s="24"/>
      <c r="T14" s="15" t="s">
        <v>64</v>
      </c>
      <c r="U14" s="15" t="n">
        <v>344267938</v>
      </c>
    </row>
    <row r="15" customFormat="false" ht="39.75" hidden="false" customHeight="true" outlineLevel="0" collapsed="false">
      <c r="A15" s="25" t="s">
        <v>9</v>
      </c>
      <c r="B15" s="15" t="s">
        <v>118</v>
      </c>
      <c r="C15" s="16" t="s">
        <v>168</v>
      </c>
      <c r="D15" s="16" t="s">
        <v>169</v>
      </c>
      <c r="E15" s="17" t="s">
        <v>170</v>
      </c>
      <c r="F15" s="15" t="s">
        <v>56</v>
      </c>
      <c r="G15" s="15" t="s">
        <v>171</v>
      </c>
      <c r="H15" s="16"/>
      <c r="I15" s="16" t="s">
        <v>172</v>
      </c>
      <c r="J15" s="16" t="s">
        <v>173</v>
      </c>
      <c r="K15" s="18" t="n">
        <v>68</v>
      </c>
      <c r="L15" s="19" t="n">
        <v>15840000</v>
      </c>
      <c r="M15" s="20" t="n">
        <v>1951</v>
      </c>
      <c r="N15" s="16"/>
      <c r="O15" s="21" t="s">
        <v>174</v>
      </c>
      <c r="P15" s="16"/>
      <c r="Q15" s="22" t="s">
        <v>63</v>
      </c>
      <c r="R15" s="23"/>
      <c r="S15" s="24"/>
      <c r="T15" s="15" t="s">
        <v>64</v>
      </c>
      <c r="U15" s="15" t="n">
        <v>48400778</v>
      </c>
    </row>
    <row r="16" customFormat="false" ht="39.75" hidden="false" customHeight="true" outlineLevel="0" collapsed="false">
      <c r="A16" s="25" t="s">
        <v>9</v>
      </c>
      <c r="B16" s="15" t="s">
        <v>118</v>
      </c>
      <c r="C16" s="16" t="s">
        <v>175</v>
      </c>
      <c r="D16" s="16" t="s">
        <v>176</v>
      </c>
      <c r="E16" s="17" t="s">
        <v>177</v>
      </c>
      <c r="F16" s="15" t="s">
        <v>56</v>
      </c>
      <c r="G16" s="15" t="s">
        <v>178</v>
      </c>
      <c r="H16" s="16"/>
      <c r="I16" s="16"/>
      <c r="J16" s="16" t="s">
        <v>179</v>
      </c>
      <c r="K16" s="18" t="n">
        <v>60</v>
      </c>
      <c r="L16" s="19" t="n">
        <v>13390000</v>
      </c>
      <c r="M16" s="20" t="n">
        <v>2004</v>
      </c>
      <c r="N16" s="16"/>
      <c r="O16" s="21" t="s">
        <v>180</v>
      </c>
      <c r="P16" s="16" t="s">
        <v>181</v>
      </c>
      <c r="Q16" s="22" t="s">
        <v>63</v>
      </c>
      <c r="R16" s="23"/>
      <c r="S16" s="24"/>
      <c r="T16" s="15" t="s">
        <v>64</v>
      </c>
      <c r="U16" s="15" t="n">
        <v>352266165</v>
      </c>
    </row>
    <row r="17" customFormat="false" ht="39.75" hidden="false" customHeight="true" outlineLevel="0" collapsed="false">
      <c r="A17" s="25" t="s">
        <v>9</v>
      </c>
      <c r="B17" s="15" t="s">
        <v>118</v>
      </c>
      <c r="C17" s="16" t="s">
        <v>182</v>
      </c>
      <c r="D17" s="16" t="s">
        <v>183</v>
      </c>
      <c r="E17" s="17" t="s">
        <v>184</v>
      </c>
      <c r="F17" s="15" t="s">
        <v>56</v>
      </c>
      <c r="G17" s="15" t="s">
        <v>185</v>
      </c>
      <c r="H17" s="16"/>
      <c r="I17" s="16" t="s">
        <v>186</v>
      </c>
      <c r="J17" s="16" t="s">
        <v>187</v>
      </c>
      <c r="K17" s="18" t="n">
        <v>25</v>
      </c>
      <c r="L17" s="19" t="n">
        <v>6443000</v>
      </c>
      <c r="M17" s="20" t="n">
        <v>1966</v>
      </c>
      <c r="N17" s="16"/>
      <c r="O17" s="21" t="s">
        <v>188</v>
      </c>
      <c r="P17" s="16" t="s">
        <v>189</v>
      </c>
      <c r="Q17" s="22" t="s">
        <v>63</v>
      </c>
      <c r="R17" s="23"/>
      <c r="S17" s="24"/>
      <c r="T17" s="15" t="s">
        <v>64</v>
      </c>
      <c r="U17" s="15" t="n">
        <v>7965364</v>
      </c>
    </row>
    <row r="18" customFormat="false" ht="39.75" hidden="false" customHeight="true" outlineLevel="0" collapsed="false">
      <c r="A18" s="25" t="s">
        <v>9</v>
      </c>
      <c r="B18" s="15" t="s">
        <v>118</v>
      </c>
      <c r="C18" s="16" t="s">
        <v>190</v>
      </c>
      <c r="D18" s="16" t="s">
        <v>191</v>
      </c>
      <c r="E18" s="17" t="s">
        <v>192</v>
      </c>
      <c r="F18" s="15" t="s">
        <v>56</v>
      </c>
      <c r="G18" s="15" t="s">
        <v>193</v>
      </c>
      <c r="H18" s="16" t="s">
        <v>194</v>
      </c>
      <c r="I18" s="16" t="s">
        <v>195</v>
      </c>
      <c r="J18" s="16" t="s">
        <v>196</v>
      </c>
      <c r="K18" s="18" t="n">
        <v>25</v>
      </c>
      <c r="L18" s="19" t="n">
        <v>7713000</v>
      </c>
      <c r="M18" s="20" t="n">
        <v>1980</v>
      </c>
      <c r="N18" s="16"/>
      <c r="O18" s="21" t="s">
        <v>197</v>
      </c>
      <c r="P18" s="16"/>
      <c r="Q18" s="22" t="s">
        <v>63</v>
      </c>
      <c r="R18" s="23"/>
      <c r="S18" s="24"/>
      <c r="T18" s="15" t="s">
        <v>64</v>
      </c>
      <c r="U18" s="15" t="n">
        <v>4066062</v>
      </c>
    </row>
    <row r="19" customFormat="false" ht="39.75" hidden="false" customHeight="true" outlineLevel="0" collapsed="false">
      <c r="A19" s="26" t="s">
        <v>11</v>
      </c>
      <c r="B19" s="15" t="s">
        <v>118</v>
      </c>
      <c r="C19" s="16" t="s">
        <v>198</v>
      </c>
      <c r="D19" s="16" t="s">
        <v>199</v>
      </c>
      <c r="E19" s="17" t="s">
        <v>200</v>
      </c>
      <c r="F19" s="15" t="s">
        <v>56</v>
      </c>
      <c r="G19" s="15" t="s">
        <v>201</v>
      </c>
      <c r="H19" s="16" t="s">
        <v>202</v>
      </c>
      <c r="I19" s="16"/>
      <c r="J19" s="16" t="s">
        <v>203</v>
      </c>
      <c r="K19" s="18" t="n">
        <v>2294</v>
      </c>
      <c r="L19" s="19" t="n">
        <v>948692000</v>
      </c>
      <c r="M19" s="20" t="n">
        <v>1907</v>
      </c>
      <c r="N19" s="16" t="s">
        <v>204</v>
      </c>
      <c r="O19" s="21" t="s">
        <v>205</v>
      </c>
      <c r="P19" s="16" t="s">
        <v>206</v>
      </c>
      <c r="Q19" s="22" t="s">
        <v>63</v>
      </c>
      <c r="R19" s="23"/>
      <c r="S19" s="24"/>
      <c r="T19" s="15" t="s">
        <v>64</v>
      </c>
      <c r="U19" s="15" t="n">
        <v>59785811</v>
      </c>
    </row>
    <row r="20" customFormat="false" ht="39.75" hidden="false" customHeight="true" outlineLevel="0" collapsed="false">
      <c r="A20" s="26" t="s">
        <v>11</v>
      </c>
      <c r="B20" s="15" t="s">
        <v>118</v>
      </c>
      <c r="C20" s="16" t="s">
        <v>207</v>
      </c>
      <c r="D20" s="16" t="s">
        <v>208</v>
      </c>
      <c r="E20" s="17" t="s">
        <v>209</v>
      </c>
      <c r="F20" s="15" t="s">
        <v>56</v>
      </c>
      <c r="G20" s="15" t="s">
        <v>210</v>
      </c>
      <c r="H20" s="16"/>
      <c r="I20" s="16" t="s">
        <v>211</v>
      </c>
      <c r="J20" s="16" t="s">
        <v>212</v>
      </c>
      <c r="K20" s="18" t="n">
        <v>91</v>
      </c>
      <c r="L20" s="19" t="n">
        <v>2576000</v>
      </c>
      <c r="M20" s="20" t="n">
        <v>1985</v>
      </c>
      <c r="N20" s="16"/>
      <c r="O20" s="21" t="s">
        <v>213</v>
      </c>
      <c r="P20" s="16" t="s">
        <v>214</v>
      </c>
      <c r="Q20" s="22" t="s">
        <v>63</v>
      </c>
      <c r="R20" s="23"/>
      <c r="S20" s="24"/>
      <c r="T20" s="15" t="s">
        <v>64</v>
      </c>
      <c r="U20" s="15" t="n">
        <v>353591703</v>
      </c>
    </row>
    <row r="21" customFormat="false" ht="39.75" hidden="false" customHeight="true" outlineLevel="0" collapsed="false">
      <c r="A21" s="26" t="s">
        <v>11</v>
      </c>
      <c r="B21" s="15" t="s">
        <v>118</v>
      </c>
      <c r="C21" s="16" t="s">
        <v>215</v>
      </c>
      <c r="D21" s="16" t="s">
        <v>216</v>
      </c>
      <c r="E21" s="17" t="s">
        <v>217</v>
      </c>
      <c r="F21" s="15" t="s">
        <v>56</v>
      </c>
      <c r="G21" s="15" t="s">
        <v>218</v>
      </c>
      <c r="H21" s="16"/>
      <c r="I21" s="16" t="s">
        <v>219</v>
      </c>
      <c r="J21" s="16" t="s">
        <v>220</v>
      </c>
      <c r="K21" s="18" t="n">
        <v>30</v>
      </c>
      <c r="L21" s="19" t="n">
        <v>5078000</v>
      </c>
      <c r="M21" s="20" t="n">
        <v>1986</v>
      </c>
      <c r="N21" s="16"/>
      <c r="O21" s="21" t="s">
        <v>221</v>
      </c>
      <c r="P21" s="16"/>
      <c r="Q21" s="22" t="s">
        <v>63</v>
      </c>
      <c r="R21" s="23"/>
      <c r="S21" s="24"/>
      <c r="T21" s="15" t="s">
        <v>64</v>
      </c>
      <c r="U21" s="15" t="n">
        <v>29426949</v>
      </c>
    </row>
    <row r="22" customFormat="false" ht="39.75" hidden="false" customHeight="true" outlineLevel="0" collapsed="false">
      <c r="A22" s="26" t="s">
        <v>11</v>
      </c>
      <c r="B22" s="15" t="s">
        <v>118</v>
      </c>
      <c r="C22" s="16" t="s">
        <v>222</v>
      </c>
      <c r="D22" s="16" t="s">
        <v>223</v>
      </c>
      <c r="E22" s="17" t="s">
        <v>224</v>
      </c>
      <c r="F22" s="15" t="s">
        <v>56</v>
      </c>
      <c r="G22" s="15" t="s">
        <v>225</v>
      </c>
      <c r="H22" s="16"/>
      <c r="I22" s="16"/>
      <c r="J22" s="16" t="s">
        <v>226</v>
      </c>
      <c r="K22" s="18" t="n">
        <v>30</v>
      </c>
      <c r="L22" s="19" t="n">
        <v>6242000</v>
      </c>
      <c r="M22" s="20" t="n">
        <v>1999</v>
      </c>
      <c r="N22" s="16"/>
      <c r="O22" s="21" t="s">
        <v>227</v>
      </c>
      <c r="P22" s="16"/>
      <c r="Q22" s="22" t="s">
        <v>63</v>
      </c>
      <c r="R22" s="23"/>
      <c r="S22" s="24"/>
      <c r="T22" s="15" t="s">
        <v>64</v>
      </c>
      <c r="U22" s="15" t="n">
        <v>50397914</v>
      </c>
    </row>
    <row r="23" customFormat="false" ht="39.75" hidden="false" customHeight="true" outlineLevel="0" collapsed="false">
      <c r="A23" s="26" t="s">
        <v>11</v>
      </c>
      <c r="B23" s="15" t="s">
        <v>118</v>
      </c>
      <c r="C23" s="16" t="s">
        <v>228</v>
      </c>
      <c r="D23" s="16" t="s">
        <v>229</v>
      </c>
      <c r="E23" s="17" t="s">
        <v>230</v>
      </c>
      <c r="F23" s="15" t="s">
        <v>56</v>
      </c>
      <c r="G23" s="15" t="s">
        <v>231</v>
      </c>
      <c r="H23" s="16"/>
      <c r="I23" s="16" t="s">
        <v>232</v>
      </c>
      <c r="J23" s="16" t="s">
        <v>233</v>
      </c>
      <c r="K23" s="18" t="n">
        <v>29</v>
      </c>
      <c r="L23" s="19" t="n">
        <v>5180000</v>
      </c>
      <c r="M23" s="20" t="n">
        <v>1972</v>
      </c>
      <c r="N23" s="16" t="s">
        <v>234</v>
      </c>
      <c r="O23" s="21" t="s">
        <v>235</v>
      </c>
      <c r="P23" s="16" t="s">
        <v>236</v>
      </c>
      <c r="Q23" s="22" t="s">
        <v>63</v>
      </c>
      <c r="R23" s="23"/>
      <c r="S23" s="24"/>
      <c r="T23" s="15" t="s">
        <v>64</v>
      </c>
      <c r="U23" s="15" t="n">
        <v>51856559</v>
      </c>
    </row>
    <row r="24" customFormat="false" ht="39.75" hidden="false" customHeight="true" outlineLevel="0" collapsed="false">
      <c r="A24" s="26" t="s">
        <v>11</v>
      </c>
      <c r="B24" s="15" t="s">
        <v>118</v>
      </c>
      <c r="C24" s="16" t="s">
        <v>237</v>
      </c>
      <c r="D24" s="16" t="s">
        <v>238</v>
      </c>
      <c r="E24" s="17" t="s">
        <v>239</v>
      </c>
      <c r="F24" s="15" t="s">
        <v>56</v>
      </c>
      <c r="G24" s="15" t="s">
        <v>240</v>
      </c>
      <c r="H24" s="16"/>
      <c r="I24" s="16" t="s">
        <v>241</v>
      </c>
      <c r="J24" s="16" t="s">
        <v>242</v>
      </c>
      <c r="K24" s="18" t="n">
        <v>24</v>
      </c>
      <c r="L24" s="19" t="n">
        <v>6200000</v>
      </c>
      <c r="M24" s="20" t="n">
        <v>2007</v>
      </c>
      <c r="N24" s="16"/>
      <c r="O24" s="21" t="s">
        <v>243</v>
      </c>
      <c r="P24" s="16"/>
      <c r="Q24" s="22" t="s">
        <v>63</v>
      </c>
      <c r="R24" s="23"/>
      <c r="S24" s="24"/>
      <c r="T24" s="15" t="s">
        <v>64</v>
      </c>
      <c r="U24" s="15" t="n">
        <v>363680524</v>
      </c>
    </row>
    <row r="25" customFormat="false" ht="39.75" hidden="false" customHeight="true" outlineLevel="0" collapsed="false">
      <c r="A25" s="14" t="s">
        <v>7</v>
      </c>
      <c r="B25" s="15" t="s">
        <v>244</v>
      </c>
      <c r="C25" s="16" t="s">
        <v>245</v>
      </c>
      <c r="D25" s="16" t="s">
        <v>246</v>
      </c>
      <c r="E25" s="17" t="s">
        <v>247</v>
      </c>
      <c r="F25" s="15" t="s">
        <v>248</v>
      </c>
      <c r="G25" s="15" t="s">
        <v>249</v>
      </c>
      <c r="H25" s="16" t="s">
        <v>250</v>
      </c>
      <c r="I25" s="16" t="s">
        <v>251</v>
      </c>
      <c r="J25" s="16" t="s">
        <v>252</v>
      </c>
      <c r="K25" s="18" t="n">
        <v>286</v>
      </c>
      <c r="L25" s="19" t="n">
        <v>32828000</v>
      </c>
      <c r="M25" s="20" t="n">
        <v>1929</v>
      </c>
      <c r="N25" s="16"/>
      <c r="O25" s="21" t="s">
        <v>253</v>
      </c>
      <c r="P25" s="16" t="s">
        <v>254</v>
      </c>
      <c r="Q25" s="22" t="s">
        <v>63</v>
      </c>
      <c r="R25" s="23"/>
      <c r="S25" s="24"/>
      <c r="T25" s="15" t="s">
        <v>255</v>
      </c>
      <c r="U25" s="15" t="n">
        <v>8996860</v>
      </c>
    </row>
    <row r="26" customFormat="false" ht="39.75" hidden="false" customHeight="true" outlineLevel="0" collapsed="false">
      <c r="A26" s="14" t="s">
        <v>7</v>
      </c>
      <c r="B26" s="15" t="s">
        <v>244</v>
      </c>
      <c r="C26" s="16" t="s">
        <v>256</v>
      </c>
      <c r="D26" s="16" t="s">
        <v>257</v>
      </c>
      <c r="E26" s="17" t="s">
        <v>258</v>
      </c>
      <c r="F26" s="15" t="s">
        <v>248</v>
      </c>
      <c r="G26" s="15" t="s">
        <v>259</v>
      </c>
      <c r="H26" s="16" t="s">
        <v>260</v>
      </c>
      <c r="I26" s="16" t="s">
        <v>261</v>
      </c>
      <c r="J26" s="16" t="s">
        <v>262</v>
      </c>
      <c r="K26" s="18" t="n">
        <v>281</v>
      </c>
      <c r="L26" s="19" t="n">
        <v>11835000</v>
      </c>
      <c r="M26" s="20" t="n">
        <v>1999</v>
      </c>
      <c r="N26" s="16"/>
      <c r="O26" s="21" t="s">
        <v>263</v>
      </c>
      <c r="P26" s="16" t="s">
        <v>264</v>
      </c>
      <c r="Q26" s="22" t="s">
        <v>63</v>
      </c>
      <c r="R26" s="23"/>
      <c r="S26" s="24"/>
      <c r="T26" s="15" t="s">
        <v>255</v>
      </c>
      <c r="U26" s="15" t="n">
        <v>371618282</v>
      </c>
    </row>
    <row r="27" customFormat="false" ht="39.75" hidden="false" customHeight="true" outlineLevel="0" collapsed="false">
      <c r="A27" s="14" t="s">
        <v>7</v>
      </c>
      <c r="B27" s="15" t="s">
        <v>244</v>
      </c>
      <c r="C27" s="16" t="s">
        <v>265</v>
      </c>
      <c r="D27" s="16" t="s">
        <v>266</v>
      </c>
      <c r="E27" s="17" t="s">
        <v>267</v>
      </c>
      <c r="F27" s="15" t="s">
        <v>248</v>
      </c>
      <c r="G27" s="15" t="s">
        <v>268</v>
      </c>
      <c r="H27" s="16" t="s">
        <v>269</v>
      </c>
      <c r="I27" s="16" t="s">
        <v>270</v>
      </c>
      <c r="J27" s="16" t="s">
        <v>271</v>
      </c>
      <c r="K27" s="18" t="n">
        <v>262</v>
      </c>
      <c r="L27" s="19" t="n">
        <v>22797000</v>
      </c>
      <c r="M27" s="20" t="n">
        <v>1920</v>
      </c>
      <c r="N27" s="16"/>
      <c r="O27" s="21" t="s">
        <v>272</v>
      </c>
      <c r="P27" s="16" t="s">
        <v>273</v>
      </c>
      <c r="Q27" s="22" t="s">
        <v>63</v>
      </c>
      <c r="R27" s="23"/>
      <c r="S27" s="24"/>
      <c r="T27" s="15" t="s">
        <v>255</v>
      </c>
      <c r="U27" s="15" t="n">
        <v>82658395</v>
      </c>
    </row>
    <row r="28" customFormat="false" ht="39.75" hidden="false" customHeight="true" outlineLevel="0" collapsed="false">
      <c r="A28" s="14" t="s">
        <v>7</v>
      </c>
      <c r="B28" s="15" t="s">
        <v>244</v>
      </c>
      <c r="C28" s="16" t="s">
        <v>274</v>
      </c>
      <c r="D28" s="16" t="s">
        <v>275</v>
      </c>
      <c r="E28" s="17" t="s">
        <v>276</v>
      </c>
      <c r="F28" s="15" t="s">
        <v>248</v>
      </c>
      <c r="G28" s="15" t="s">
        <v>277</v>
      </c>
      <c r="H28" s="16" t="s">
        <v>278</v>
      </c>
      <c r="I28" s="16" t="s">
        <v>279</v>
      </c>
      <c r="J28" s="16" t="s">
        <v>280</v>
      </c>
      <c r="K28" s="18" t="n">
        <v>200</v>
      </c>
      <c r="L28" s="19" t="n">
        <v>69573000</v>
      </c>
      <c r="M28" s="20" t="n">
        <v>2021</v>
      </c>
      <c r="N28" s="16"/>
      <c r="O28" s="21" t="s">
        <v>281</v>
      </c>
      <c r="P28" s="16" t="s">
        <v>282</v>
      </c>
      <c r="Q28" s="22" t="s">
        <v>63</v>
      </c>
      <c r="R28" s="23"/>
      <c r="S28" s="24"/>
      <c r="T28" s="15" t="s">
        <v>255</v>
      </c>
      <c r="U28" s="15" t="n">
        <v>481121880</v>
      </c>
    </row>
    <row r="29" customFormat="false" ht="39.75" hidden="false" customHeight="true" outlineLevel="0" collapsed="false">
      <c r="A29" s="14" t="s">
        <v>7</v>
      </c>
      <c r="B29" s="15" t="s">
        <v>244</v>
      </c>
      <c r="C29" s="16" t="s">
        <v>283</v>
      </c>
      <c r="D29" s="16" t="s">
        <v>284</v>
      </c>
      <c r="E29" s="17" t="s">
        <v>285</v>
      </c>
      <c r="F29" s="15" t="s">
        <v>248</v>
      </c>
      <c r="G29" s="15" t="s">
        <v>286</v>
      </c>
      <c r="H29" s="16" t="s">
        <v>287</v>
      </c>
      <c r="I29" s="16" t="s">
        <v>288</v>
      </c>
      <c r="J29" s="16" t="s">
        <v>289</v>
      </c>
      <c r="K29" s="18" t="n">
        <v>120</v>
      </c>
      <c r="L29" s="19" t="n">
        <v>71702000</v>
      </c>
      <c r="M29" s="20" t="n">
        <v>1970</v>
      </c>
      <c r="N29" s="16"/>
      <c r="O29" s="21" t="s">
        <v>290</v>
      </c>
      <c r="P29" s="16" t="s">
        <v>291</v>
      </c>
      <c r="Q29" s="22" t="s">
        <v>63</v>
      </c>
      <c r="R29" s="23"/>
      <c r="S29" s="24"/>
      <c r="T29" s="15" t="s">
        <v>255</v>
      </c>
      <c r="U29" s="15" t="n">
        <v>25117527</v>
      </c>
    </row>
    <row r="30" customFormat="false" ht="39.75" hidden="false" customHeight="true" outlineLevel="0" collapsed="false">
      <c r="A30" s="14" t="s">
        <v>7</v>
      </c>
      <c r="B30" s="15" t="s">
        <v>244</v>
      </c>
      <c r="C30" s="16" t="s">
        <v>292</v>
      </c>
      <c r="D30" s="16" t="s">
        <v>293</v>
      </c>
      <c r="E30" s="17" t="s">
        <v>294</v>
      </c>
      <c r="F30" s="15" t="s">
        <v>248</v>
      </c>
      <c r="G30" s="15" t="s">
        <v>295</v>
      </c>
      <c r="H30" s="16"/>
      <c r="I30" s="16" t="s">
        <v>296</v>
      </c>
      <c r="J30" s="16" t="s">
        <v>297</v>
      </c>
      <c r="K30" s="18" t="n">
        <v>90</v>
      </c>
      <c r="L30" s="19" t="n">
        <v>14844000</v>
      </c>
      <c r="M30" s="20" t="n">
        <v>1952</v>
      </c>
      <c r="N30" s="16"/>
      <c r="O30" s="21" t="s">
        <v>298</v>
      </c>
      <c r="P30" s="16" t="s">
        <v>299</v>
      </c>
      <c r="Q30" s="22" t="s">
        <v>63</v>
      </c>
      <c r="R30" s="23"/>
      <c r="S30" s="24"/>
      <c r="T30" s="15" t="s">
        <v>255</v>
      </c>
      <c r="U30" s="15" t="n">
        <v>93767622</v>
      </c>
    </row>
    <row r="31" customFormat="false" ht="39.75" hidden="false" customHeight="true" outlineLevel="0" collapsed="false">
      <c r="A31" s="14" t="s">
        <v>7</v>
      </c>
      <c r="B31" s="15" t="s">
        <v>244</v>
      </c>
      <c r="C31" s="16" t="s">
        <v>300</v>
      </c>
      <c r="D31" s="16" t="s">
        <v>301</v>
      </c>
      <c r="E31" s="17" t="s">
        <v>302</v>
      </c>
      <c r="F31" s="15" t="s">
        <v>56</v>
      </c>
      <c r="G31" s="15" t="s">
        <v>303</v>
      </c>
      <c r="H31" s="16"/>
      <c r="I31" s="16" t="s">
        <v>304</v>
      </c>
      <c r="J31" s="16" t="s">
        <v>305</v>
      </c>
      <c r="K31" s="18" t="n">
        <v>70</v>
      </c>
      <c r="L31" s="19" t="n">
        <v>21533000</v>
      </c>
      <c r="M31" s="20" t="n">
        <v>1981</v>
      </c>
      <c r="N31" s="16"/>
      <c r="O31" s="21" t="s">
        <v>306</v>
      </c>
      <c r="P31" s="16" t="s">
        <v>307</v>
      </c>
      <c r="Q31" s="22" t="s">
        <v>63</v>
      </c>
      <c r="R31" s="23"/>
      <c r="S31" s="24"/>
      <c r="T31" s="15" t="s">
        <v>64</v>
      </c>
      <c r="U31" s="15" t="n">
        <v>2935868</v>
      </c>
    </row>
    <row r="32" customFormat="false" ht="39.75" hidden="false" customHeight="true" outlineLevel="0" collapsed="false">
      <c r="A32" s="25" t="s">
        <v>9</v>
      </c>
      <c r="B32" s="15" t="s">
        <v>244</v>
      </c>
      <c r="C32" s="16" t="s">
        <v>308</v>
      </c>
      <c r="D32" s="16" t="s">
        <v>309</v>
      </c>
      <c r="E32" s="17" t="s">
        <v>310</v>
      </c>
      <c r="F32" s="15" t="s">
        <v>248</v>
      </c>
      <c r="G32" s="15" t="s">
        <v>311</v>
      </c>
      <c r="H32" s="16"/>
      <c r="I32" s="16"/>
      <c r="J32" s="16" t="s">
        <v>312</v>
      </c>
      <c r="K32" s="18" t="n">
        <v>199</v>
      </c>
      <c r="L32" s="19" t="n">
        <v>16725000</v>
      </c>
      <c r="M32" s="20" t="n">
        <v>2015</v>
      </c>
      <c r="N32" s="16"/>
      <c r="O32" s="21" t="s">
        <v>313</v>
      </c>
      <c r="P32" s="16" t="s">
        <v>314</v>
      </c>
      <c r="Q32" s="22" t="s">
        <v>63</v>
      </c>
      <c r="R32" s="23"/>
      <c r="S32" s="24"/>
      <c r="T32" s="15" t="s">
        <v>255</v>
      </c>
      <c r="U32" s="15" t="n">
        <v>397516336</v>
      </c>
    </row>
    <row r="33" customFormat="false" ht="39.75" hidden="false" customHeight="true" outlineLevel="0" collapsed="false">
      <c r="A33" s="25" t="s">
        <v>9</v>
      </c>
      <c r="B33" s="15" t="s">
        <v>244</v>
      </c>
      <c r="C33" s="16" t="s">
        <v>315</v>
      </c>
      <c r="D33" s="16" t="s">
        <v>316</v>
      </c>
      <c r="E33" s="17" t="s">
        <v>317</v>
      </c>
      <c r="F33" s="15" t="s">
        <v>248</v>
      </c>
      <c r="G33" s="15" t="s">
        <v>318</v>
      </c>
      <c r="H33" s="16"/>
      <c r="I33" s="16" t="s">
        <v>319</v>
      </c>
      <c r="J33" s="16" t="s">
        <v>320</v>
      </c>
      <c r="K33" s="18" t="n">
        <v>146</v>
      </c>
      <c r="L33" s="19" t="n">
        <v>16932000</v>
      </c>
      <c r="M33" s="20" t="n">
        <v>1975</v>
      </c>
      <c r="N33" s="16"/>
      <c r="O33" s="21" t="s">
        <v>321</v>
      </c>
      <c r="P33" s="16"/>
      <c r="Q33" s="22" t="s">
        <v>63</v>
      </c>
      <c r="R33" s="23"/>
      <c r="S33" s="24"/>
      <c r="T33" s="15" t="s">
        <v>255</v>
      </c>
      <c r="U33" s="15" t="n">
        <v>347309462</v>
      </c>
    </row>
    <row r="34" customFormat="false" ht="39.75" hidden="false" customHeight="true" outlineLevel="0" collapsed="false">
      <c r="A34" s="25" t="s">
        <v>9</v>
      </c>
      <c r="B34" s="15" t="s">
        <v>244</v>
      </c>
      <c r="C34" s="16" t="s">
        <v>322</v>
      </c>
      <c r="D34" s="16" t="s">
        <v>323</v>
      </c>
      <c r="E34" s="17" t="s">
        <v>324</v>
      </c>
      <c r="F34" s="15" t="s">
        <v>248</v>
      </c>
      <c r="G34" s="15" t="s">
        <v>325</v>
      </c>
      <c r="H34" s="16" t="s">
        <v>326</v>
      </c>
      <c r="I34" s="16" t="s">
        <v>327</v>
      </c>
      <c r="J34" s="16" t="s">
        <v>328</v>
      </c>
      <c r="K34" s="18" t="n">
        <v>58</v>
      </c>
      <c r="L34" s="19" t="n">
        <v>12007000</v>
      </c>
      <c r="M34" s="20" t="n">
        <v>1998</v>
      </c>
      <c r="N34" s="16"/>
      <c r="O34" s="21" t="s">
        <v>329</v>
      </c>
      <c r="P34" s="16" t="s">
        <v>330</v>
      </c>
      <c r="Q34" s="22" t="s">
        <v>63</v>
      </c>
      <c r="R34" s="23"/>
      <c r="S34" s="24"/>
      <c r="T34" s="15" t="s">
        <v>255</v>
      </c>
      <c r="U34" s="15" t="n">
        <v>354245370</v>
      </c>
    </row>
    <row r="35" customFormat="false" ht="39.75" hidden="false" customHeight="true" outlineLevel="0" collapsed="false">
      <c r="A35" s="25" t="s">
        <v>9</v>
      </c>
      <c r="B35" s="15" t="s">
        <v>244</v>
      </c>
      <c r="C35" s="16" t="s">
        <v>331</v>
      </c>
      <c r="D35" s="16" t="s">
        <v>332</v>
      </c>
      <c r="E35" s="17" t="s">
        <v>333</v>
      </c>
      <c r="F35" s="15" t="s">
        <v>248</v>
      </c>
      <c r="G35" s="15" t="s">
        <v>334</v>
      </c>
      <c r="H35" s="16"/>
      <c r="I35" s="16" t="s">
        <v>335</v>
      </c>
      <c r="J35" s="16" t="s">
        <v>336</v>
      </c>
      <c r="K35" s="18" t="n">
        <v>49</v>
      </c>
      <c r="L35" s="19" t="n">
        <v>9752000</v>
      </c>
      <c r="M35" s="20" t="n">
        <v>1977</v>
      </c>
      <c r="N35" s="16"/>
      <c r="O35" s="21" t="s">
        <v>337</v>
      </c>
      <c r="P35" s="16"/>
      <c r="Q35" s="22" t="s">
        <v>63</v>
      </c>
      <c r="R35" s="23"/>
      <c r="S35" s="24"/>
      <c r="T35" s="15" t="s">
        <v>255</v>
      </c>
      <c r="U35" s="15" t="n">
        <v>126845033</v>
      </c>
    </row>
    <row r="36" customFormat="false" ht="39.75" hidden="false" customHeight="true" outlineLevel="0" collapsed="false">
      <c r="A36" s="25" t="s">
        <v>9</v>
      </c>
      <c r="B36" s="15" t="s">
        <v>244</v>
      </c>
      <c r="C36" s="16" t="s">
        <v>338</v>
      </c>
      <c r="D36" s="16" t="s">
        <v>339</v>
      </c>
      <c r="E36" s="17" t="s">
        <v>340</v>
      </c>
      <c r="F36" s="15" t="s">
        <v>248</v>
      </c>
      <c r="G36" s="15" t="s">
        <v>341</v>
      </c>
      <c r="H36" s="16"/>
      <c r="I36" s="16" t="s">
        <v>342</v>
      </c>
      <c r="J36" s="16" t="s">
        <v>343</v>
      </c>
      <c r="K36" s="18" t="n">
        <v>34</v>
      </c>
      <c r="L36" s="19" t="n">
        <v>1166000</v>
      </c>
      <c r="M36" s="20" t="n">
        <v>2017</v>
      </c>
      <c r="N36" s="16"/>
      <c r="O36" s="21" t="s">
        <v>344</v>
      </c>
      <c r="P36" s="16" t="s">
        <v>345</v>
      </c>
      <c r="Q36" s="22" t="s">
        <v>63</v>
      </c>
      <c r="R36" s="23"/>
      <c r="S36" s="24"/>
      <c r="T36" s="15" t="s">
        <v>255</v>
      </c>
      <c r="U36" s="15" t="n">
        <v>451726485</v>
      </c>
    </row>
    <row r="37" customFormat="false" ht="39.75" hidden="false" customHeight="true" outlineLevel="0" collapsed="false">
      <c r="A37" s="25" t="s">
        <v>9</v>
      </c>
      <c r="B37" s="15" t="s">
        <v>244</v>
      </c>
      <c r="C37" s="16" t="s">
        <v>346</v>
      </c>
      <c r="D37" s="16" t="s">
        <v>347</v>
      </c>
      <c r="E37" s="17" t="s">
        <v>348</v>
      </c>
      <c r="F37" s="15" t="s">
        <v>248</v>
      </c>
      <c r="G37" s="15" t="s">
        <v>349</v>
      </c>
      <c r="H37" s="16"/>
      <c r="I37" s="16" t="s">
        <v>350</v>
      </c>
      <c r="J37" s="16" t="s">
        <v>351</v>
      </c>
      <c r="K37" s="18" t="n">
        <v>23</v>
      </c>
      <c r="L37" s="19" t="n">
        <v>7217000</v>
      </c>
      <c r="M37" s="20" t="n">
        <v>1960</v>
      </c>
      <c r="N37" s="16"/>
      <c r="O37" s="21" t="s">
        <v>352</v>
      </c>
      <c r="P37" s="16"/>
      <c r="Q37" s="22" t="s">
        <v>63</v>
      </c>
      <c r="R37" s="23"/>
      <c r="S37" s="24"/>
      <c r="T37" s="15" t="s">
        <v>255</v>
      </c>
      <c r="U37" s="15" t="n">
        <v>41815502</v>
      </c>
    </row>
    <row r="38" customFormat="false" ht="39.75" hidden="false" customHeight="true" outlineLevel="0" collapsed="false">
      <c r="A38" s="26" t="s">
        <v>11</v>
      </c>
      <c r="B38" s="15" t="s">
        <v>244</v>
      </c>
      <c r="C38" s="16" t="s">
        <v>353</v>
      </c>
      <c r="D38" s="16" t="s">
        <v>354</v>
      </c>
      <c r="E38" s="17" t="s">
        <v>355</v>
      </c>
      <c r="F38" s="15" t="s">
        <v>248</v>
      </c>
      <c r="G38" s="15" t="s">
        <v>356</v>
      </c>
      <c r="H38" s="16" t="s">
        <v>357</v>
      </c>
      <c r="I38" s="16"/>
      <c r="J38" s="16" t="s">
        <v>358</v>
      </c>
      <c r="K38" s="18" t="n">
        <v>4300</v>
      </c>
      <c r="L38" s="19" t="n">
        <v>1514886000</v>
      </c>
      <c r="M38" s="20" t="n">
        <v>1963</v>
      </c>
      <c r="N38" s="16" t="s">
        <v>359</v>
      </c>
      <c r="O38" s="21" t="s">
        <v>360</v>
      </c>
      <c r="P38" s="16" t="s">
        <v>361</v>
      </c>
      <c r="Q38" s="22" t="s">
        <v>63</v>
      </c>
      <c r="R38" s="23"/>
      <c r="S38" s="24"/>
      <c r="T38" s="15" t="s">
        <v>255</v>
      </c>
      <c r="U38" s="15" t="n">
        <v>92389930</v>
      </c>
    </row>
    <row r="39" customFormat="false" ht="39.75" hidden="false" customHeight="true" outlineLevel="0" collapsed="false">
      <c r="A39" s="26" t="s">
        <v>11</v>
      </c>
      <c r="B39" s="15" t="s">
        <v>244</v>
      </c>
      <c r="C39" s="16" t="s">
        <v>362</v>
      </c>
      <c r="D39" s="16" t="s">
        <v>363</v>
      </c>
      <c r="E39" s="17" t="s">
        <v>364</v>
      </c>
      <c r="F39" s="15" t="s">
        <v>248</v>
      </c>
      <c r="G39" s="15" t="s">
        <v>365</v>
      </c>
      <c r="H39" s="16" t="s">
        <v>366</v>
      </c>
      <c r="I39" s="16"/>
      <c r="J39" s="16" t="s">
        <v>367</v>
      </c>
      <c r="K39" s="18" t="n">
        <v>1817</v>
      </c>
      <c r="L39" s="19" t="n">
        <v>242210000</v>
      </c>
      <c r="M39" s="20" t="n">
        <v>1955</v>
      </c>
      <c r="N39" s="16"/>
      <c r="O39" s="21" t="s">
        <v>368</v>
      </c>
      <c r="P39" s="16" t="s">
        <v>369</v>
      </c>
      <c r="Q39" s="22" t="s">
        <v>63</v>
      </c>
      <c r="R39" s="23"/>
      <c r="S39" s="24"/>
      <c r="T39" s="15" t="s">
        <v>255</v>
      </c>
      <c r="U39" s="15" t="n">
        <v>112869812</v>
      </c>
    </row>
    <row r="40" customFormat="false" ht="39.75" hidden="false" customHeight="true" outlineLevel="0" collapsed="false">
      <c r="A40" s="26" t="s">
        <v>11</v>
      </c>
      <c r="B40" s="15" t="s">
        <v>244</v>
      </c>
      <c r="C40" s="16" t="s">
        <v>370</v>
      </c>
      <c r="D40" s="16" t="s">
        <v>371</v>
      </c>
      <c r="E40" s="17" t="s">
        <v>372</v>
      </c>
      <c r="F40" s="15" t="s">
        <v>248</v>
      </c>
      <c r="G40" s="15" t="s">
        <v>373</v>
      </c>
      <c r="H40" s="16" t="s">
        <v>374</v>
      </c>
      <c r="I40" s="16" t="s">
        <v>375</v>
      </c>
      <c r="J40" s="16" t="s">
        <v>376</v>
      </c>
      <c r="K40" s="18" t="n">
        <v>160</v>
      </c>
      <c r="L40" s="19" t="n">
        <v>59128000</v>
      </c>
      <c r="M40" s="20" t="n">
        <v>1974</v>
      </c>
      <c r="N40" s="16" t="s">
        <v>377</v>
      </c>
      <c r="O40" s="21" t="s">
        <v>378</v>
      </c>
      <c r="P40" s="16" t="s">
        <v>379</v>
      </c>
      <c r="Q40" s="22" t="s">
        <v>63</v>
      </c>
      <c r="R40" s="23"/>
      <c r="S40" s="24"/>
      <c r="T40" s="15" t="s">
        <v>255</v>
      </c>
      <c r="U40" s="15" t="n">
        <v>207552767</v>
      </c>
    </row>
    <row r="41" customFormat="false" ht="39.75" hidden="false" customHeight="true" outlineLevel="0" collapsed="false">
      <c r="A41" s="14" t="s">
        <v>7</v>
      </c>
      <c r="B41" s="15" t="s">
        <v>380</v>
      </c>
      <c r="C41" s="16" t="s">
        <v>381</v>
      </c>
      <c r="D41" s="16" t="s">
        <v>382</v>
      </c>
      <c r="E41" s="17" t="s">
        <v>383</v>
      </c>
      <c r="F41" s="15" t="s">
        <v>248</v>
      </c>
      <c r="G41" s="15" t="s">
        <v>384</v>
      </c>
      <c r="H41" s="16"/>
      <c r="I41" s="16"/>
      <c r="J41" s="16" t="s">
        <v>385</v>
      </c>
      <c r="K41" s="18" t="n">
        <v>86</v>
      </c>
      <c r="L41" s="19" t="n">
        <v>3100000</v>
      </c>
      <c r="M41" s="20" t="n">
        <v>1984</v>
      </c>
      <c r="N41" s="16"/>
      <c r="O41" s="21" t="s">
        <v>386</v>
      </c>
      <c r="P41" s="16" t="s">
        <v>387</v>
      </c>
      <c r="Q41" s="22" t="s">
        <v>63</v>
      </c>
      <c r="R41" s="23"/>
      <c r="S41" s="24"/>
      <c r="T41" s="15" t="s">
        <v>255</v>
      </c>
      <c r="U41" s="15" t="n">
        <v>227410374</v>
      </c>
    </row>
    <row r="42" customFormat="false" ht="39.75" hidden="false" customHeight="true" outlineLevel="0" collapsed="false">
      <c r="A42" s="25" t="s">
        <v>9</v>
      </c>
      <c r="B42" s="15" t="s">
        <v>380</v>
      </c>
      <c r="C42" s="16" t="s">
        <v>388</v>
      </c>
      <c r="D42" s="16" t="s">
        <v>389</v>
      </c>
      <c r="E42" s="17" t="s">
        <v>390</v>
      </c>
      <c r="F42" s="15" t="s">
        <v>248</v>
      </c>
      <c r="G42" s="15" t="s">
        <v>391</v>
      </c>
      <c r="H42" s="16"/>
      <c r="I42" s="16" t="s">
        <v>392</v>
      </c>
      <c r="J42" s="16" t="s">
        <v>393</v>
      </c>
      <c r="K42" s="18" t="n">
        <v>700</v>
      </c>
      <c r="L42" s="19" t="n">
        <v>374260000</v>
      </c>
      <c r="M42" s="20" t="n">
        <v>1956</v>
      </c>
      <c r="N42" s="16"/>
      <c r="O42" s="21" t="s">
        <v>394</v>
      </c>
      <c r="P42" s="16" t="s">
        <v>395</v>
      </c>
      <c r="Q42" s="22" t="s">
        <v>63</v>
      </c>
      <c r="R42" s="23"/>
      <c r="S42" s="24"/>
      <c r="T42" s="15" t="s">
        <v>255</v>
      </c>
      <c r="U42" s="15" t="n">
        <v>17287496</v>
      </c>
    </row>
    <row r="43" customFormat="false" ht="39.75" hidden="false" customHeight="true" outlineLevel="0" collapsed="false">
      <c r="A43" s="25" t="s">
        <v>9</v>
      </c>
      <c r="B43" s="15" t="s">
        <v>380</v>
      </c>
      <c r="C43" s="16" t="s">
        <v>396</v>
      </c>
      <c r="D43" s="16" t="s">
        <v>397</v>
      </c>
      <c r="E43" s="17" t="s">
        <v>398</v>
      </c>
      <c r="F43" s="15" t="s">
        <v>248</v>
      </c>
      <c r="G43" s="15" t="s">
        <v>399</v>
      </c>
      <c r="H43" s="16"/>
      <c r="I43" s="16"/>
      <c r="J43" s="16" t="s">
        <v>400</v>
      </c>
      <c r="K43" s="18" t="n">
        <v>124</v>
      </c>
      <c r="L43" s="19" t="n">
        <v>23544000</v>
      </c>
      <c r="M43" s="20" t="n">
        <v>1993</v>
      </c>
      <c r="N43" s="16"/>
      <c r="O43" s="21" t="s">
        <v>401</v>
      </c>
      <c r="P43" s="16" t="s">
        <v>402</v>
      </c>
      <c r="Q43" s="22" t="s">
        <v>63</v>
      </c>
      <c r="R43" s="23"/>
      <c r="S43" s="24"/>
      <c r="T43" s="15" t="s">
        <v>255</v>
      </c>
      <c r="U43" s="15" t="n">
        <v>98615871</v>
      </c>
    </row>
    <row r="44" customFormat="false" ht="39.75" hidden="false" customHeight="true" outlineLevel="0" collapsed="false">
      <c r="A44" s="25" t="s">
        <v>9</v>
      </c>
      <c r="B44" s="15" t="s">
        <v>380</v>
      </c>
      <c r="C44" s="16" t="s">
        <v>403</v>
      </c>
      <c r="D44" s="16" t="s">
        <v>404</v>
      </c>
      <c r="E44" s="17" t="s">
        <v>405</v>
      </c>
      <c r="F44" s="15" t="s">
        <v>248</v>
      </c>
      <c r="G44" s="15" t="s">
        <v>406</v>
      </c>
      <c r="H44" s="16"/>
      <c r="I44" s="16" t="s">
        <v>407</v>
      </c>
      <c r="J44" s="16" t="s">
        <v>408</v>
      </c>
      <c r="K44" s="18" t="n">
        <v>79</v>
      </c>
      <c r="L44" s="19" t="n">
        <v>2726000</v>
      </c>
      <c r="M44" s="20" t="n">
        <v>2015</v>
      </c>
      <c r="N44" s="16"/>
      <c r="O44" s="21" t="s">
        <v>409</v>
      </c>
      <c r="P44" s="16" t="s">
        <v>410</v>
      </c>
      <c r="Q44" s="22" t="s">
        <v>63</v>
      </c>
      <c r="R44" s="23"/>
      <c r="S44" s="24"/>
      <c r="T44" s="15" t="s">
        <v>255</v>
      </c>
      <c r="U44" s="15" t="n">
        <v>397758004</v>
      </c>
    </row>
    <row r="45" customFormat="false" ht="39.75" hidden="false" customHeight="true" outlineLevel="0" collapsed="false">
      <c r="A45" s="25" t="s">
        <v>9</v>
      </c>
      <c r="B45" s="15" t="s">
        <v>380</v>
      </c>
      <c r="C45" s="16" t="s">
        <v>411</v>
      </c>
      <c r="D45" s="16" t="s">
        <v>404</v>
      </c>
      <c r="E45" s="17" t="s">
        <v>412</v>
      </c>
      <c r="F45" s="15" t="s">
        <v>248</v>
      </c>
      <c r="G45" s="15" t="s">
        <v>413</v>
      </c>
      <c r="H45" s="16"/>
      <c r="I45" s="16" t="s">
        <v>414</v>
      </c>
      <c r="J45" s="16" t="s">
        <v>415</v>
      </c>
      <c r="K45" s="18" t="n">
        <v>67</v>
      </c>
      <c r="L45" s="19" t="n">
        <v>14297000</v>
      </c>
      <c r="M45" s="20" t="n">
        <v>2016</v>
      </c>
      <c r="N45" s="16"/>
      <c r="O45" s="21" t="s">
        <v>416</v>
      </c>
      <c r="P45" s="16"/>
      <c r="Q45" s="22" t="s">
        <v>63</v>
      </c>
      <c r="R45" s="23"/>
      <c r="S45" s="24"/>
      <c r="T45" s="15" t="s">
        <v>255</v>
      </c>
      <c r="U45" s="15" t="n">
        <v>403845227</v>
      </c>
    </row>
    <row r="46" customFormat="false" ht="39.75" hidden="false" customHeight="true" outlineLevel="0" collapsed="false">
      <c r="A46" s="25" t="s">
        <v>9</v>
      </c>
      <c r="B46" s="15" t="s">
        <v>380</v>
      </c>
      <c r="C46" s="16" t="s">
        <v>417</v>
      </c>
      <c r="D46" s="16" t="s">
        <v>418</v>
      </c>
      <c r="E46" s="17" t="s">
        <v>419</v>
      </c>
      <c r="F46" s="15" t="s">
        <v>248</v>
      </c>
      <c r="G46" s="15" t="s">
        <v>420</v>
      </c>
      <c r="H46" s="16" t="s">
        <v>421</v>
      </c>
      <c r="I46" s="16"/>
      <c r="J46" s="16" t="s">
        <v>422</v>
      </c>
      <c r="K46" s="18" t="n">
        <v>35</v>
      </c>
      <c r="L46" s="19" t="n">
        <v>5895000</v>
      </c>
      <c r="M46" s="20" t="n">
        <v>1987</v>
      </c>
      <c r="N46" s="16"/>
      <c r="O46" s="21" t="s">
        <v>423</v>
      </c>
      <c r="P46" s="16" t="s">
        <v>424</v>
      </c>
      <c r="Q46" s="22" t="s">
        <v>63</v>
      </c>
      <c r="R46" s="23"/>
      <c r="S46" s="24"/>
      <c r="T46" s="15" t="s">
        <v>255</v>
      </c>
      <c r="U46" s="15" t="n">
        <v>348042852</v>
      </c>
    </row>
    <row r="47" customFormat="false" ht="39.75" hidden="false" customHeight="true" outlineLevel="0" collapsed="false">
      <c r="A47" s="25" t="s">
        <v>9</v>
      </c>
      <c r="B47" s="15" t="s">
        <v>380</v>
      </c>
      <c r="C47" s="16" t="s">
        <v>425</v>
      </c>
      <c r="D47" s="16" t="s">
        <v>426</v>
      </c>
      <c r="E47" s="17" t="s">
        <v>427</v>
      </c>
      <c r="F47" s="15" t="s">
        <v>248</v>
      </c>
      <c r="G47" s="15" t="s">
        <v>428</v>
      </c>
      <c r="H47" s="16"/>
      <c r="I47" s="16" t="s">
        <v>429</v>
      </c>
      <c r="J47" s="16" t="s">
        <v>430</v>
      </c>
      <c r="K47" s="18" t="n">
        <v>23</v>
      </c>
      <c r="L47" s="19" t="n">
        <v>4972000</v>
      </c>
      <c r="M47" s="20" t="n">
        <v>1981</v>
      </c>
      <c r="N47" s="16"/>
      <c r="O47" s="21" t="s">
        <v>431</v>
      </c>
      <c r="P47" s="16" t="s">
        <v>432</v>
      </c>
      <c r="Q47" s="22" t="s">
        <v>63</v>
      </c>
      <c r="R47" s="23"/>
      <c r="S47" s="24"/>
      <c r="T47" s="15" t="s">
        <v>255</v>
      </c>
      <c r="U47" s="15" t="n">
        <v>1122062802</v>
      </c>
    </row>
    <row r="48" customFormat="false" ht="39.75" hidden="false" customHeight="true" outlineLevel="0" collapsed="false">
      <c r="A48" s="26" t="s">
        <v>11</v>
      </c>
      <c r="B48" s="15" t="s">
        <v>380</v>
      </c>
      <c r="C48" s="16" t="s">
        <v>433</v>
      </c>
      <c r="D48" s="16" t="s">
        <v>434</v>
      </c>
      <c r="E48" s="17" t="s">
        <v>435</v>
      </c>
      <c r="F48" s="15" t="s">
        <v>248</v>
      </c>
      <c r="G48" s="15" t="s">
        <v>436</v>
      </c>
      <c r="H48" s="16" t="s">
        <v>437</v>
      </c>
      <c r="I48" s="16"/>
      <c r="J48" s="16" t="s">
        <v>438</v>
      </c>
      <c r="K48" s="18" t="n">
        <v>403</v>
      </c>
      <c r="L48" s="19" t="n">
        <v>11440000</v>
      </c>
      <c r="M48" s="20" t="n">
        <v>1994</v>
      </c>
      <c r="N48" s="16" t="s">
        <v>439</v>
      </c>
      <c r="O48" s="21" t="s">
        <v>440</v>
      </c>
      <c r="P48" s="16" t="s">
        <v>441</v>
      </c>
      <c r="Q48" s="22" t="s">
        <v>63</v>
      </c>
      <c r="R48" s="23"/>
      <c r="S48" s="24"/>
      <c r="T48" s="15" t="s">
        <v>255</v>
      </c>
      <c r="U48" s="15" t="n">
        <v>2556714</v>
      </c>
    </row>
    <row r="49" customFormat="false" ht="39.75" hidden="false" customHeight="true" outlineLevel="0" collapsed="false">
      <c r="A49" s="26" t="s">
        <v>11</v>
      </c>
      <c r="B49" s="15" t="s">
        <v>380</v>
      </c>
      <c r="C49" s="16" t="s">
        <v>442</v>
      </c>
      <c r="D49" s="16" t="s">
        <v>443</v>
      </c>
      <c r="E49" s="17" t="s">
        <v>444</v>
      </c>
      <c r="F49" s="15" t="s">
        <v>248</v>
      </c>
      <c r="G49" s="15" t="s">
        <v>445</v>
      </c>
      <c r="H49" s="16"/>
      <c r="I49" s="16" t="s">
        <v>446</v>
      </c>
      <c r="J49" s="16" t="s">
        <v>447</v>
      </c>
      <c r="K49" s="18" t="n">
        <v>64</v>
      </c>
      <c r="L49" s="19" t="n">
        <v>7935000</v>
      </c>
      <c r="M49" s="20" t="n">
        <v>1999</v>
      </c>
      <c r="N49" s="16"/>
      <c r="O49" s="21" t="s">
        <v>448</v>
      </c>
      <c r="P49" s="16"/>
      <c r="Q49" s="22" t="s">
        <v>63</v>
      </c>
      <c r="R49" s="23"/>
      <c r="S49" s="24"/>
      <c r="T49" s="15" t="s">
        <v>255</v>
      </c>
      <c r="U49" s="15" t="n">
        <v>348228861</v>
      </c>
    </row>
    <row r="50" customFormat="false" ht="39.75" hidden="false" customHeight="true" outlineLevel="0" collapsed="false">
      <c r="A50" s="26" t="s">
        <v>11</v>
      </c>
      <c r="B50" s="15" t="s">
        <v>380</v>
      </c>
      <c r="C50" s="16" t="s">
        <v>449</v>
      </c>
      <c r="D50" s="16" t="s">
        <v>450</v>
      </c>
      <c r="E50" s="17" t="s">
        <v>451</v>
      </c>
      <c r="F50" s="15" t="s">
        <v>248</v>
      </c>
      <c r="G50" s="15" t="s">
        <v>452</v>
      </c>
      <c r="H50" s="16"/>
      <c r="I50" s="16"/>
      <c r="J50" s="16" t="s">
        <v>453</v>
      </c>
      <c r="K50" s="18" t="n">
        <v>63</v>
      </c>
      <c r="L50" s="19" t="n">
        <v>15013000</v>
      </c>
      <c r="M50" s="20" t="n">
        <v>2016</v>
      </c>
      <c r="N50" s="16" t="s">
        <v>454</v>
      </c>
      <c r="O50" s="21" t="s">
        <v>455</v>
      </c>
      <c r="P50" s="16" t="s">
        <v>456</v>
      </c>
      <c r="Q50" s="22" t="s">
        <v>63</v>
      </c>
      <c r="R50" s="23"/>
      <c r="S50" s="24"/>
      <c r="T50" s="15" t="s">
        <v>255</v>
      </c>
      <c r="U50" s="15" t="n">
        <v>395765368</v>
      </c>
    </row>
    <row r="51" customFormat="false" ht="39.75" hidden="false" customHeight="true" outlineLevel="0" collapsed="false">
      <c r="A51" s="26" t="s">
        <v>11</v>
      </c>
      <c r="B51" s="15" t="s">
        <v>380</v>
      </c>
      <c r="C51" s="16" t="s">
        <v>457</v>
      </c>
      <c r="D51" s="16" t="s">
        <v>458</v>
      </c>
      <c r="E51" s="17" t="s">
        <v>459</v>
      </c>
      <c r="F51" s="15" t="s">
        <v>248</v>
      </c>
      <c r="G51" s="15" t="s">
        <v>460</v>
      </c>
      <c r="H51" s="16"/>
      <c r="I51" s="16"/>
      <c r="J51" s="16" t="s">
        <v>461</v>
      </c>
      <c r="K51" s="18" t="n">
        <v>32</v>
      </c>
      <c r="L51" s="19" t="n">
        <v>6756000</v>
      </c>
      <c r="M51" s="20"/>
      <c r="N51" s="16"/>
      <c r="O51" s="21" t="s">
        <v>462</v>
      </c>
      <c r="P51" s="16"/>
      <c r="Q51" s="22" t="s">
        <v>63</v>
      </c>
      <c r="R51" s="23"/>
      <c r="S51" s="24"/>
      <c r="T51" s="15" t="s">
        <v>255</v>
      </c>
      <c r="U51" s="15" t="n">
        <v>541625269</v>
      </c>
    </row>
    <row r="52" customFormat="false" ht="39.75" hidden="false" customHeight="true" outlineLevel="0" collapsed="false">
      <c r="A52" s="14" t="s">
        <v>7</v>
      </c>
      <c r="B52" s="15" t="s">
        <v>463</v>
      </c>
      <c r="C52" s="16" t="s">
        <v>464</v>
      </c>
      <c r="D52" s="16" t="s">
        <v>465</v>
      </c>
      <c r="E52" s="17" t="s">
        <v>466</v>
      </c>
      <c r="F52" s="15" t="s">
        <v>467</v>
      </c>
      <c r="G52" s="15" t="s">
        <v>468</v>
      </c>
      <c r="H52" s="16" t="s">
        <v>469</v>
      </c>
      <c r="I52" s="16" t="s">
        <v>470</v>
      </c>
      <c r="J52" s="16" t="s">
        <v>471</v>
      </c>
      <c r="K52" s="18" t="n">
        <v>410</v>
      </c>
      <c r="L52" s="19" t="n">
        <v>24761000</v>
      </c>
      <c r="M52" s="20" t="n">
        <v>1947</v>
      </c>
      <c r="N52" s="16"/>
      <c r="O52" s="21" t="s">
        <v>472</v>
      </c>
      <c r="P52" s="16" t="s">
        <v>473</v>
      </c>
      <c r="Q52" s="22" t="s">
        <v>63</v>
      </c>
      <c r="R52" s="23"/>
      <c r="S52" s="24"/>
      <c r="T52" s="15" t="s">
        <v>474</v>
      </c>
      <c r="U52" s="15" t="n">
        <v>30739950</v>
      </c>
    </row>
    <row r="53" customFormat="false" ht="39.75" hidden="false" customHeight="true" outlineLevel="0" collapsed="false">
      <c r="A53" s="14" t="s">
        <v>7</v>
      </c>
      <c r="B53" s="15" t="s">
        <v>463</v>
      </c>
      <c r="C53" s="16" t="s">
        <v>475</v>
      </c>
      <c r="D53" s="16" t="s">
        <v>476</v>
      </c>
      <c r="E53" s="17" t="s">
        <v>477</v>
      </c>
      <c r="F53" s="15" t="s">
        <v>467</v>
      </c>
      <c r="G53" s="15" t="s">
        <v>478</v>
      </c>
      <c r="H53" s="16"/>
      <c r="I53" s="16" t="s">
        <v>479</v>
      </c>
      <c r="J53" s="16" t="s">
        <v>480</v>
      </c>
      <c r="K53" s="18" t="n">
        <v>82</v>
      </c>
      <c r="L53" s="19" t="n">
        <v>5328000</v>
      </c>
      <c r="M53" s="20" t="n">
        <v>2008</v>
      </c>
      <c r="N53" s="16"/>
      <c r="O53" s="21" t="s">
        <v>481</v>
      </c>
      <c r="P53" s="16" t="s">
        <v>482</v>
      </c>
      <c r="Q53" s="22" t="s">
        <v>63</v>
      </c>
      <c r="R53" s="23"/>
      <c r="S53" s="24"/>
      <c r="T53" s="15" t="s">
        <v>474</v>
      </c>
      <c r="U53" s="15" t="n">
        <v>344599909</v>
      </c>
    </row>
    <row r="54" customFormat="false" ht="39.75" hidden="false" customHeight="true" outlineLevel="0" collapsed="false">
      <c r="A54" s="25" t="s">
        <v>9</v>
      </c>
      <c r="B54" s="15" t="s">
        <v>463</v>
      </c>
      <c r="C54" s="16" t="s">
        <v>483</v>
      </c>
      <c r="D54" s="16" t="s">
        <v>484</v>
      </c>
      <c r="E54" s="17" t="s">
        <v>485</v>
      </c>
      <c r="F54" s="15" t="s">
        <v>467</v>
      </c>
      <c r="G54" s="15" t="s">
        <v>486</v>
      </c>
      <c r="H54" s="16"/>
      <c r="I54" s="16" t="s">
        <v>487</v>
      </c>
      <c r="J54" s="16" t="s">
        <v>488</v>
      </c>
      <c r="K54" s="18" t="n">
        <v>55</v>
      </c>
      <c r="L54" s="19" t="n">
        <v>14197000</v>
      </c>
      <c r="M54" s="20" t="n">
        <v>1985</v>
      </c>
      <c r="N54" s="16"/>
      <c r="O54" s="21" t="s">
        <v>489</v>
      </c>
      <c r="P54" s="16" t="s">
        <v>490</v>
      </c>
      <c r="Q54" s="22" t="s">
        <v>63</v>
      </c>
      <c r="R54" s="23"/>
      <c r="S54" s="24"/>
      <c r="T54" s="15" t="s">
        <v>474</v>
      </c>
      <c r="U54" s="15" t="n">
        <v>359188055</v>
      </c>
    </row>
    <row r="55" customFormat="false" ht="39.75" hidden="false" customHeight="true" outlineLevel="0" collapsed="false">
      <c r="A55" s="25" t="s">
        <v>9</v>
      </c>
      <c r="B55" s="15" t="s">
        <v>463</v>
      </c>
      <c r="C55" s="16" t="s">
        <v>491</v>
      </c>
      <c r="D55" s="16" t="s">
        <v>492</v>
      </c>
      <c r="E55" s="17" t="s">
        <v>493</v>
      </c>
      <c r="F55" s="15" t="s">
        <v>467</v>
      </c>
      <c r="G55" s="15" t="s">
        <v>494</v>
      </c>
      <c r="H55" s="16"/>
      <c r="I55" s="16" t="s">
        <v>495</v>
      </c>
      <c r="J55" s="16" t="s">
        <v>496</v>
      </c>
      <c r="K55" s="18" t="n">
        <v>34</v>
      </c>
      <c r="L55" s="19" t="n">
        <v>6880000</v>
      </c>
      <c r="M55" s="20" t="n">
        <v>1988</v>
      </c>
      <c r="N55" s="16"/>
      <c r="O55" s="21" t="s">
        <v>497</v>
      </c>
      <c r="P55" s="16"/>
      <c r="Q55" s="22" t="s">
        <v>63</v>
      </c>
      <c r="R55" s="23"/>
      <c r="S55" s="24"/>
      <c r="T55" s="15" t="s">
        <v>474</v>
      </c>
      <c r="U55" s="15" t="n">
        <v>353985624</v>
      </c>
    </row>
    <row r="56" customFormat="false" ht="39.75" hidden="false" customHeight="true" outlineLevel="0" collapsed="false">
      <c r="A56" s="25" t="s">
        <v>9</v>
      </c>
      <c r="B56" s="15" t="s">
        <v>463</v>
      </c>
      <c r="C56" s="16" t="s">
        <v>498</v>
      </c>
      <c r="D56" s="16" t="s">
        <v>499</v>
      </c>
      <c r="E56" s="17" t="s">
        <v>500</v>
      </c>
      <c r="F56" s="15" t="s">
        <v>467</v>
      </c>
      <c r="G56" s="15" t="s">
        <v>501</v>
      </c>
      <c r="H56" s="16"/>
      <c r="I56" s="16" t="s">
        <v>502</v>
      </c>
      <c r="J56" s="16" t="s">
        <v>503</v>
      </c>
      <c r="K56" s="18" t="n">
        <v>27</v>
      </c>
      <c r="L56" s="19" t="n">
        <v>1517000</v>
      </c>
      <c r="M56" s="20"/>
      <c r="N56" s="16"/>
      <c r="O56" s="21" t="s">
        <v>504</v>
      </c>
      <c r="P56" s="16" t="s">
        <v>505</v>
      </c>
      <c r="Q56" s="22" t="s">
        <v>63</v>
      </c>
      <c r="R56" s="23"/>
      <c r="S56" s="24"/>
      <c r="T56" s="15" t="s">
        <v>474</v>
      </c>
      <c r="U56" s="15" t="n">
        <v>343333439</v>
      </c>
    </row>
    <row r="57" customFormat="false" ht="39.75" hidden="false" customHeight="true" outlineLevel="0" collapsed="false">
      <c r="A57" s="26" t="s">
        <v>11</v>
      </c>
      <c r="B57" s="15" t="s">
        <v>463</v>
      </c>
      <c r="C57" s="16" t="s">
        <v>506</v>
      </c>
      <c r="D57" s="16" t="s">
        <v>507</v>
      </c>
      <c r="E57" s="17" t="s">
        <v>508</v>
      </c>
      <c r="F57" s="15" t="s">
        <v>467</v>
      </c>
      <c r="G57" s="15" t="s">
        <v>509</v>
      </c>
      <c r="H57" s="16"/>
      <c r="I57" s="16"/>
      <c r="J57" s="16" t="s">
        <v>510</v>
      </c>
      <c r="K57" s="18" t="n">
        <v>701</v>
      </c>
      <c r="L57" s="19" t="n">
        <v>19784000</v>
      </c>
      <c r="M57" s="20" t="n">
        <v>1974</v>
      </c>
      <c r="N57" s="16" t="s">
        <v>511</v>
      </c>
      <c r="O57" s="21" t="s">
        <v>512</v>
      </c>
      <c r="P57" s="16" t="s">
        <v>513</v>
      </c>
      <c r="Q57" s="22" t="s">
        <v>63</v>
      </c>
      <c r="R57" s="23"/>
      <c r="S57" s="24"/>
      <c r="T57" s="15" t="s">
        <v>474</v>
      </c>
      <c r="U57" s="15" t="n">
        <v>56511689</v>
      </c>
    </row>
    <row r="58" customFormat="false" ht="39.75" hidden="false" customHeight="true" outlineLevel="0" collapsed="false">
      <c r="A58" s="26" t="s">
        <v>11</v>
      </c>
      <c r="B58" s="15" t="s">
        <v>463</v>
      </c>
      <c r="C58" s="16" t="s">
        <v>514</v>
      </c>
      <c r="D58" s="16" t="s">
        <v>515</v>
      </c>
      <c r="E58" s="17" t="s">
        <v>516</v>
      </c>
      <c r="F58" s="15" t="s">
        <v>467</v>
      </c>
      <c r="G58" s="15" t="s">
        <v>517</v>
      </c>
      <c r="H58" s="16"/>
      <c r="I58" s="16" t="s">
        <v>518</v>
      </c>
      <c r="J58" s="16" t="s">
        <v>519</v>
      </c>
      <c r="K58" s="18" t="n">
        <v>71</v>
      </c>
      <c r="L58" s="19" t="n">
        <v>18870000</v>
      </c>
      <c r="M58" s="20" t="n">
        <v>1998</v>
      </c>
      <c r="N58" s="16"/>
      <c r="O58" s="21" t="s">
        <v>520</v>
      </c>
      <c r="P58" s="16" t="s">
        <v>521</v>
      </c>
      <c r="Q58" s="22" t="s">
        <v>63</v>
      </c>
      <c r="R58" s="23"/>
      <c r="S58" s="24"/>
      <c r="T58" s="15" t="s">
        <v>474</v>
      </c>
      <c r="U58" s="15" t="n">
        <v>76400508</v>
      </c>
    </row>
    <row r="59" customFormat="false" ht="39.75" hidden="false" customHeight="true" outlineLevel="0" collapsed="false">
      <c r="A59" s="26" t="s">
        <v>11</v>
      </c>
      <c r="B59" s="15" t="s">
        <v>463</v>
      </c>
      <c r="C59" s="16" t="s">
        <v>522</v>
      </c>
      <c r="D59" s="16" t="s">
        <v>523</v>
      </c>
      <c r="E59" s="17" t="s">
        <v>524</v>
      </c>
      <c r="F59" s="15" t="s">
        <v>467</v>
      </c>
      <c r="G59" s="15" t="s">
        <v>525</v>
      </c>
      <c r="H59" s="16"/>
      <c r="I59" s="16" t="s">
        <v>526</v>
      </c>
      <c r="J59" s="16" t="s">
        <v>527</v>
      </c>
      <c r="K59" s="18" t="n">
        <v>21</v>
      </c>
      <c r="L59" s="19" t="n">
        <v>13683000</v>
      </c>
      <c r="M59" s="20" t="n">
        <v>1921</v>
      </c>
      <c r="N59" s="16"/>
      <c r="O59" s="21" t="s">
        <v>528</v>
      </c>
      <c r="P59" s="16" t="s">
        <v>529</v>
      </c>
      <c r="Q59" s="22" t="s">
        <v>63</v>
      </c>
      <c r="R59" s="23"/>
      <c r="S59" s="24"/>
      <c r="T59" s="15" t="s">
        <v>474</v>
      </c>
      <c r="U59" s="15" t="n">
        <v>1128547688</v>
      </c>
    </row>
    <row r="60" customFormat="false" ht="39.75" hidden="false" customHeight="true" outlineLevel="0" collapsed="false">
      <c r="A60" s="14" t="s">
        <v>7</v>
      </c>
      <c r="B60" s="15" t="s">
        <v>530</v>
      </c>
      <c r="C60" s="16" t="s">
        <v>531</v>
      </c>
      <c r="D60" s="16" t="s">
        <v>532</v>
      </c>
      <c r="E60" s="17" t="s">
        <v>533</v>
      </c>
      <c r="F60" s="15" t="s">
        <v>467</v>
      </c>
      <c r="G60" s="15" t="s">
        <v>534</v>
      </c>
      <c r="H60" s="16" t="s">
        <v>535</v>
      </c>
      <c r="I60" s="16" t="s">
        <v>536</v>
      </c>
      <c r="J60" s="16" t="s">
        <v>537</v>
      </c>
      <c r="K60" s="18" t="n">
        <v>280</v>
      </c>
      <c r="L60" s="19" t="n">
        <v>66695000</v>
      </c>
      <c r="M60" s="20" t="n">
        <v>1978</v>
      </c>
      <c r="N60" s="16"/>
      <c r="O60" s="21" t="s">
        <v>538</v>
      </c>
      <c r="P60" s="16" t="s">
        <v>539</v>
      </c>
      <c r="Q60" s="22" t="s">
        <v>63</v>
      </c>
      <c r="R60" s="23"/>
      <c r="S60" s="24"/>
      <c r="T60" s="15" t="s">
        <v>474</v>
      </c>
      <c r="U60" s="15" t="n">
        <v>80937600</v>
      </c>
    </row>
    <row r="61" customFormat="false" ht="39.75" hidden="false" customHeight="true" outlineLevel="0" collapsed="false">
      <c r="A61" s="14" t="s">
        <v>7</v>
      </c>
      <c r="B61" s="15" t="s">
        <v>530</v>
      </c>
      <c r="C61" s="16" t="s">
        <v>540</v>
      </c>
      <c r="D61" s="16" t="s">
        <v>541</v>
      </c>
      <c r="E61" s="17" t="s">
        <v>542</v>
      </c>
      <c r="F61" s="15" t="s">
        <v>467</v>
      </c>
      <c r="G61" s="15" t="s">
        <v>543</v>
      </c>
      <c r="H61" s="16" t="s">
        <v>544</v>
      </c>
      <c r="I61" s="16" t="s">
        <v>545</v>
      </c>
      <c r="J61" s="16" t="s">
        <v>546</v>
      </c>
      <c r="K61" s="18" t="n">
        <v>135</v>
      </c>
      <c r="L61" s="19" t="n">
        <v>99989000</v>
      </c>
      <c r="M61" s="20" t="n">
        <v>1970</v>
      </c>
      <c r="N61" s="16"/>
      <c r="O61" s="21" t="s">
        <v>547</v>
      </c>
      <c r="P61" s="16" t="s">
        <v>548</v>
      </c>
      <c r="Q61" s="22" t="s">
        <v>63</v>
      </c>
      <c r="R61" s="23"/>
      <c r="S61" s="24"/>
      <c r="T61" s="15" t="s">
        <v>474</v>
      </c>
      <c r="U61" s="15" t="n">
        <v>16239075</v>
      </c>
    </row>
    <row r="62" customFormat="false" ht="39.75" hidden="false" customHeight="true" outlineLevel="0" collapsed="false">
      <c r="A62" s="14" t="s">
        <v>7</v>
      </c>
      <c r="B62" s="15" t="s">
        <v>530</v>
      </c>
      <c r="C62" s="16" t="s">
        <v>549</v>
      </c>
      <c r="D62" s="16" t="s">
        <v>550</v>
      </c>
      <c r="E62" s="17" t="s">
        <v>551</v>
      </c>
      <c r="F62" s="15" t="s">
        <v>467</v>
      </c>
      <c r="G62" s="15" t="s">
        <v>552</v>
      </c>
      <c r="H62" s="16" t="s">
        <v>553</v>
      </c>
      <c r="I62" s="16" t="s">
        <v>554</v>
      </c>
      <c r="J62" s="16" t="s">
        <v>555</v>
      </c>
      <c r="K62" s="18" t="n">
        <v>102</v>
      </c>
      <c r="L62" s="19" t="n">
        <v>18379000</v>
      </c>
      <c r="M62" s="20" t="n">
        <v>1972</v>
      </c>
      <c r="N62" s="16"/>
      <c r="O62" s="21" t="s">
        <v>556</v>
      </c>
      <c r="P62" s="16" t="s">
        <v>557</v>
      </c>
      <c r="Q62" s="22" t="s">
        <v>63</v>
      </c>
      <c r="R62" s="23"/>
      <c r="S62" s="24"/>
      <c r="T62" s="15" t="s">
        <v>474</v>
      </c>
      <c r="U62" s="15" t="n">
        <v>193593434</v>
      </c>
    </row>
    <row r="63" customFormat="false" ht="39.75" hidden="false" customHeight="true" outlineLevel="0" collapsed="false">
      <c r="A63" s="14" t="s">
        <v>7</v>
      </c>
      <c r="B63" s="15" t="s">
        <v>530</v>
      </c>
      <c r="C63" s="16" t="s">
        <v>558</v>
      </c>
      <c r="D63" s="16" t="s">
        <v>559</v>
      </c>
      <c r="E63" s="17" t="s">
        <v>560</v>
      </c>
      <c r="F63" s="15" t="s">
        <v>467</v>
      </c>
      <c r="G63" s="15" t="s">
        <v>561</v>
      </c>
      <c r="H63" s="16" t="s">
        <v>562</v>
      </c>
      <c r="I63" s="16" t="s">
        <v>563</v>
      </c>
      <c r="J63" s="16" t="s">
        <v>564</v>
      </c>
      <c r="K63" s="18" t="n">
        <v>76</v>
      </c>
      <c r="L63" s="19" t="n">
        <v>18177000</v>
      </c>
      <c r="M63" s="20" t="n">
        <v>1969</v>
      </c>
      <c r="N63" s="16"/>
      <c r="O63" s="21" t="s">
        <v>565</v>
      </c>
      <c r="P63" s="16" t="s">
        <v>566</v>
      </c>
      <c r="Q63" s="22" t="s">
        <v>63</v>
      </c>
      <c r="R63" s="23"/>
      <c r="S63" s="24"/>
      <c r="T63" s="15" t="s">
        <v>474</v>
      </c>
      <c r="U63" s="15" t="n">
        <v>50678002</v>
      </c>
    </row>
    <row r="64" customFormat="false" ht="39.75" hidden="false" customHeight="true" outlineLevel="0" collapsed="false">
      <c r="A64" s="14" t="s">
        <v>7</v>
      </c>
      <c r="B64" s="15" t="s">
        <v>530</v>
      </c>
      <c r="C64" s="16" t="s">
        <v>567</v>
      </c>
      <c r="D64" s="16" t="s">
        <v>568</v>
      </c>
      <c r="E64" s="17" t="s">
        <v>569</v>
      </c>
      <c r="F64" s="15" t="s">
        <v>467</v>
      </c>
      <c r="G64" s="15" t="s">
        <v>570</v>
      </c>
      <c r="H64" s="16" t="s">
        <v>571</v>
      </c>
      <c r="I64" s="16" t="s">
        <v>572</v>
      </c>
      <c r="J64" s="16" t="s">
        <v>573</v>
      </c>
      <c r="K64" s="18" t="n">
        <v>73</v>
      </c>
      <c r="L64" s="19" t="n">
        <v>18507000</v>
      </c>
      <c r="M64" s="20" t="n">
        <v>1952</v>
      </c>
      <c r="N64" s="16"/>
      <c r="O64" s="21" t="s">
        <v>574</v>
      </c>
      <c r="P64" s="16" t="s">
        <v>575</v>
      </c>
      <c r="Q64" s="22" t="s">
        <v>63</v>
      </c>
      <c r="R64" s="23"/>
      <c r="S64" s="24"/>
      <c r="T64" s="15" t="s">
        <v>474</v>
      </c>
      <c r="U64" s="15" t="n">
        <v>352771180</v>
      </c>
    </row>
    <row r="65" customFormat="false" ht="39.75" hidden="false" customHeight="true" outlineLevel="0" collapsed="false">
      <c r="A65" s="14" t="s">
        <v>7</v>
      </c>
      <c r="B65" s="15" t="s">
        <v>530</v>
      </c>
      <c r="C65" s="16" t="s">
        <v>576</v>
      </c>
      <c r="D65" s="16" t="s">
        <v>577</v>
      </c>
      <c r="E65" s="17" t="s">
        <v>578</v>
      </c>
      <c r="F65" s="15" t="s">
        <v>467</v>
      </c>
      <c r="G65" s="15" t="s">
        <v>579</v>
      </c>
      <c r="H65" s="16" t="s">
        <v>580</v>
      </c>
      <c r="I65" s="16"/>
      <c r="J65" s="16" t="s">
        <v>581</v>
      </c>
      <c r="K65" s="18" t="n">
        <v>54</v>
      </c>
      <c r="L65" s="19" t="n">
        <v>6341000</v>
      </c>
      <c r="M65" s="20" t="n">
        <v>1977</v>
      </c>
      <c r="N65" s="16" t="s">
        <v>582</v>
      </c>
      <c r="O65" s="21" t="s">
        <v>583</v>
      </c>
      <c r="P65" s="16" t="s">
        <v>584</v>
      </c>
      <c r="Q65" s="22" t="s">
        <v>63</v>
      </c>
      <c r="R65" s="23"/>
      <c r="S65" s="24"/>
      <c r="T65" s="15" t="s">
        <v>474</v>
      </c>
      <c r="U65" s="15" t="n">
        <v>32690370</v>
      </c>
    </row>
    <row r="66" customFormat="false" ht="39.75" hidden="false" customHeight="true" outlineLevel="0" collapsed="false">
      <c r="A66" s="25" t="s">
        <v>9</v>
      </c>
      <c r="B66" s="15" t="s">
        <v>530</v>
      </c>
      <c r="C66" s="16" t="s">
        <v>585</v>
      </c>
      <c r="D66" s="16" t="s">
        <v>586</v>
      </c>
      <c r="E66" s="17" t="s">
        <v>587</v>
      </c>
      <c r="F66" s="15" t="s">
        <v>467</v>
      </c>
      <c r="G66" s="15" t="s">
        <v>588</v>
      </c>
      <c r="H66" s="16"/>
      <c r="I66" s="16" t="s">
        <v>589</v>
      </c>
      <c r="J66" s="16" t="s">
        <v>590</v>
      </c>
      <c r="K66" s="18" t="n">
        <v>127</v>
      </c>
      <c r="L66" s="19" t="n">
        <v>12799000</v>
      </c>
      <c r="M66" s="20" t="n">
        <v>1980</v>
      </c>
      <c r="N66" s="16"/>
      <c r="O66" s="21" t="s">
        <v>591</v>
      </c>
      <c r="P66" s="16"/>
      <c r="Q66" s="22" t="s">
        <v>63</v>
      </c>
      <c r="R66" s="23"/>
      <c r="S66" s="24"/>
      <c r="T66" s="15" t="s">
        <v>474</v>
      </c>
      <c r="U66" s="15" t="n">
        <v>6295262</v>
      </c>
    </row>
    <row r="67" customFormat="false" ht="39.75" hidden="false" customHeight="true" outlineLevel="0" collapsed="false">
      <c r="A67" s="25" t="s">
        <v>9</v>
      </c>
      <c r="B67" s="15" t="s">
        <v>530</v>
      </c>
      <c r="C67" s="16" t="s">
        <v>592</v>
      </c>
      <c r="D67" s="16" t="s">
        <v>593</v>
      </c>
      <c r="E67" s="17" t="s">
        <v>594</v>
      </c>
      <c r="F67" s="15" t="s">
        <v>467</v>
      </c>
      <c r="G67" s="15" t="s">
        <v>595</v>
      </c>
      <c r="H67" s="16"/>
      <c r="I67" s="16" t="s">
        <v>596</v>
      </c>
      <c r="J67" s="16" t="s">
        <v>597</v>
      </c>
      <c r="K67" s="18" t="n">
        <v>42</v>
      </c>
      <c r="L67" s="19" t="n">
        <v>8590000</v>
      </c>
      <c r="M67" s="20" t="n">
        <v>1990</v>
      </c>
      <c r="N67" s="16"/>
      <c r="O67" s="21" t="s">
        <v>598</v>
      </c>
      <c r="P67" s="16" t="s">
        <v>599</v>
      </c>
      <c r="Q67" s="22" t="s">
        <v>63</v>
      </c>
      <c r="R67" s="23"/>
      <c r="S67" s="24"/>
      <c r="T67" s="15" t="s">
        <v>474</v>
      </c>
      <c r="U67" s="15" t="n">
        <v>43125676</v>
      </c>
    </row>
    <row r="68" customFormat="false" ht="39.75" hidden="false" customHeight="true" outlineLevel="0" collapsed="false">
      <c r="A68" s="25" t="s">
        <v>9</v>
      </c>
      <c r="B68" s="15" t="s">
        <v>530</v>
      </c>
      <c r="C68" s="16" t="s">
        <v>600</v>
      </c>
      <c r="D68" s="16" t="s">
        <v>601</v>
      </c>
      <c r="E68" s="17" t="s">
        <v>602</v>
      </c>
      <c r="F68" s="15" t="s">
        <v>467</v>
      </c>
      <c r="G68" s="15" t="s">
        <v>603</v>
      </c>
      <c r="H68" s="16"/>
      <c r="I68" s="16" t="s">
        <v>604</v>
      </c>
      <c r="J68" s="16" t="s">
        <v>605</v>
      </c>
      <c r="K68" s="18" t="n">
        <v>36</v>
      </c>
      <c r="L68" s="19" t="n">
        <v>4909000</v>
      </c>
      <c r="M68" s="20" t="n">
        <v>1883</v>
      </c>
      <c r="N68" s="16"/>
      <c r="O68" s="21" t="s">
        <v>606</v>
      </c>
      <c r="P68" s="16" t="s">
        <v>607</v>
      </c>
      <c r="Q68" s="22" t="s">
        <v>63</v>
      </c>
      <c r="R68" s="23"/>
      <c r="S68" s="24"/>
      <c r="T68" s="15" t="s">
        <v>474</v>
      </c>
      <c r="U68" s="15" t="n">
        <v>92094650</v>
      </c>
    </row>
    <row r="69" customFormat="false" ht="39.75" hidden="false" customHeight="true" outlineLevel="0" collapsed="false">
      <c r="A69" s="25" t="s">
        <v>9</v>
      </c>
      <c r="B69" s="15" t="s">
        <v>530</v>
      </c>
      <c r="C69" s="16" t="s">
        <v>608</v>
      </c>
      <c r="D69" s="16" t="s">
        <v>609</v>
      </c>
      <c r="E69" s="17" t="s">
        <v>610</v>
      </c>
      <c r="F69" s="15" t="s">
        <v>467</v>
      </c>
      <c r="G69" s="15" t="s">
        <v>611</v>
      </c>
      <c r="H69" s="16"/>
      <c r="I69" s="16"/>
      <c r="J69" s="16" t="s">
        <v>612</v>
      </c>
      <c r="K69" s="18" t="n">
        <v>28</v>
      </c>
      <c r="L69" s="19" t="n">
        <v>9315000</v>
      </c>
      <c r="M69" s="20" t="n">
        <v>2011</v>
      </c>
      <c r="N69" s="16"/>
      <c r="O69" s="21" t="s">
        <v>613</v>
      </c>
      <c r="P69" s="16"/>
      <c r="Q69" s="22" t="s">
        <v>63</v>
      </c>
      <c r="R69" s="23"/>
      <c r="S69" s="24"/>
      <c r="T69" s="15" t="s">
        <v>474</v>
      </c>
      <c r="U69" s="15" t="n">
        <v>122486882</v>
      </c>
    </row>
    <row r="70" customFormat="false" ht="39.75" hidden="false" customHeight="true" outlineLevel="0" collapsed="false">
      <c r="A70" s="26" t="s">
        <v>11</v>
      </c>
      <c r="B70" s="15" t="s">
        <v>530</v>
      </c>
      <c r="C70" s="16" t="s">
        <v>614</v>
      </c>
      <c r="D70" s="16" t="s">
        <v>615</v>
      </c>
      <c r="E70" s="17" t="s">
        <v>616</v>
      </c>
      <c r="F70" s="15" t="s">
        <v>467</v>
      </c>
      <c r="G70" s="15" t="s">
        <v>617</v>
      </c>
      <c r="H70" s="16"/>
      <c r="I70" s="16"/>
      <c r="J70" s="16" t="s">
        <v>618</v>
      </c>
      <c r="K70" s="18" t="n">
        <v>1262</v>
      </c>
      <c r="L70" s="19" t="n">
        <v>36226000</v>
      </c>
      <c r="M70" s="20"/>
      <c r="N70" s="16"/>
      <c r="O70" s="21" t="s">
        <v>619</v>
      </c>
      <c r="P70" s="16" t="s">
        <v>620</v>
      </c>
      <c r="Q70" s="22" t="s">
        <v>63</v>
      </c>
      <c r="R70" s="23"/>
      <c r="S70" s="24"/>
      <c r="T70" s="15" t="s">
        <v>474</v>
      </c>
      <c r="U70" s="15" t="n">
        <v>35750136</v>
      </c>
    </row>
    <row r="71" customFormat="false" ht="39.75" hidden="false" customHeight="true" outlineLevel="0" collapsed="false">
      <c r="A71" s="26" t="s">
        <v>11</v>
      </c>
      <c r="B71" s="15" t="s">
        <v>530</v>
      </c>
      <c r="C71" s="16" t="s">
        <v>621</v>
      </c>
      <c r="D71" s="16" t="s">
        <v>622</v>
      </c>
      <c r="E71" s="17" t="s">
        <v>623</v>
      </c>
      <c r="F71" s="15" t="s">
        <v>467</v>
      </c>
      <c r="G71" s="15" t="s">
        <v>624</v>
      </c>
      <c r="H71" s="16"/>
      <c r="I71" s="16"/>
      <c r="J71" s="16" t="s">
        <v>625</v>
      </c>
      <c r="K71" s="18" t="n">
        <v>72</v>
      </c>
      <c r="L71" s="19" t="n">
        <v>3145000</v>
      </c>
      <c r="M71" s="20" t="n">
        <v>1982</v>
      </c>
      <c r="N71" s="16"/>
      <c r="O71" s="21" t="s">
        <v>626</v>
      </c>
      <c r="P71" s="16"/>
      <c r="Q71" s="22" t="s">
        <v>63</v>
      </c>
      <c r="R71" s="23"/>
      <c r="S71" s="24"/>
      <c r="T71" s="15" t="s">
        <v>474</v>
      </c>
      <c r="U71" s="15" t="n">
        <v>405942027</v>
      </c>
    </row>
    <row r="72" customFormat="false" ht="39.75" hidden="false" customHeight="true" outlineLevel="0" collapsed="false">
      <c r="A72" s="26" t="s">
        <v>11</v>
      </c>
      <c r="B72" s="15" t="s">
        <v>530</v>
      </c>
      <c r="C72" s="16" t="s">
        <v>627</v>
      </c>
      <c r="D72" s="16" t="s">
        <v>628</v>
      </c>
      <c r="E72" s="17" t="s">
        <v>629</v>
      </c>
      <c r="F72" s="15" t="s">
        <v>467</v>
      </c>
      <c r="G72" s="15" t="s">
        <v>630</v>
      </c>
      <c r="H72" s="16"/>
      <c r="I72" s="16"/>
      <c r="J72" s="16" t="s">
        <v>631</v>
      </c>
      <c r="K72" s="18" t="n">
        <v>30</v>
      </c>
      <c r="L72" s="19" t="n">
        <v>8271000</v>
      </c>
      <c r="M72" s="20"/>
      <c r="N72" s="16" t="s">
        <v>632</v>
      </c>
      <c r="O72" s="21" t="s">
        <v>633</v>
      </c>
      <c r="P72" s="16" t="s">
        <v>634</v>
      </c>
      <c r="Q72" s="22" t="s">
        <v>63</v>
      </c>
      <c r="R72" s="23"/>
      <c r="S72" s="24"/>
      <c r="T72" s="15" t="s">
        <v>474</v>
      </c>
      <c r="U72" s="15" t="n">
        <v>11619277</v>
      </c>
    </row>
    <row r="73" customFormat="false" ht="39.75" hidden="false" customHeight="true" outlineLevel="0" collapsed="false">
      <c r="A73" s="14" t="s">
        <v>7</v>
      </c>
      <c r="B73" s="15" t="s">
        <v>635</v>
      </c>
      <c r="C73" s="16" t="s">
        <v>636</v>
      </c>
      <c r="D73" s="16" t="s">
        <v>637</v>
      </c>
      <c r="E73" s="17" t="s">
        <v>638</v>
      </c>
      <c r="F73" s="15" t="s">
        <v>639</v>
      </c>
      <c r="G73" s="15" t="s">
        <v>640</v>
      </c>
      <c r="H73" s="16" t="s">
        <v>641</v>
      </c>
      <c r="I73" s="16" t="s">
        <v>642</v>
      </c>
      <c r="J73" s="16" t="s">
        <v>643</v>
      </c>
      <c r="K73" s="18" t="n">
        <v>755</v>
      </c>
      <c r="L73" s="19" t="n">
        <v>34941000</v>
      </c>
      <c r="M73" s="20" t="n">
        <v>1998</v>
      </c>
      <c r="N73" s="16"/>
      <c r="O73" s="21" t="s">
        <v>644</v>
      </c>
      <c r="P73" s="16" t="s">
        <v>645</v>
      </c>
      <c r="Q73" s="22" t="s">
        <v>63</v>
      </c>
      <c r="R73" s="23"/>
      <c r="S73" s="24"/>
      <c r="T73" s="15" t="s">
        <v>646</v>
      </c>
      <c r="U73" s="15" t="n">
        <v>44024049</v>
      </c>
    </row>
    <row r="74" customFormat="false" ht="39.75" hidden="false" customHeight="true" outlineLevel="0" collapsed="false">
      <c r="A74" s="14" t="s">
        <v>7</v>
      </c>
      <c r="B74" s="15" t="s">
        <v>635</v>
      </c>
      <c r="C74" s="16" t="s">
        <v>647</v>
      </c>
      <c r="D74" s="16" t="s">
        <v>648</v>
      </c>
      <c r="E74" s="17" t="s">
        <v>649</v>
      </c>
      <c r="F74" s="15" t="s">
        <v>639</v>
      </c>
      <c r="G74" s="15" t="s">
        <v>650</v>
      </c>
      <c r="H74" s="16"/>
      <c r="I74" s="16"/>
      <c r="J74" s="16" t="s">
        <v>651</v>
      </c>
      <c r="K74" s="18" t="n">
        <v>226</v>
      </c>
      <c r="L74" s="19" t="n">
        <v>54426000</v>
      </c>
      <c r="M74" s="20" t="n">
        <v>1992</v>
      </c>
      <c r="N74" s="16"/>
      <c r="O74" s="21" t="s">
        <v>652</v>
      </c>
      <c r="P74" s="16" t="s">
        <v>653</v>
      </c>
      <c r="Q74" s="22" t="s">
        <v>63</v>
      </c>
      <c r="R74" s="23"/>
      <c r="S74" s="24"/>
      <c r="T74" s="15" t="s">
        <v>646</v>
      </c>
      <c r="U74" s="15" t="n">
        <v>40865749</v>
      </c>
    </row>
    <row r="75" customFormat="false" ht="39.75" hidden="false" customHeight="true" outlineLevel="0" collapsed="false">
      <c r="A75" s="14" t="s">
        <v>7</v>
      </c>
      <c r="B75" s="15" t="s">
        <v>635</v>
      </c>
      <c r="C75" s="16" t="s">
        <v>654</v>
      </c>
      <c r="D75" s="16" t="s">
        <v>655</v>
      </c>
      <c r="E75" s="17" t="s">
        <v>656</v>
      </c>
      <c r="F75" s="15" t="s">
        <v>639</v>
      </c>
      <c r="G75" s="15" t="s">
        <v>657</v>
      </c>
      <c r="H75" s="16" t="s">
        <v>658</v>
      </c>
      <c r="I75" s="16" t="s">
        <v>659</v>
      </c>
      <c r="J75" s="16" t="s">
        <v>660</v>
      </c>
      <c r="K75" s="18" t="n">
        <v>82</v>
      </c>
      <c r="L75" s="19" t="n">
        <v>23837000</v>
      </c>
      <c r="M75" s="20" t="n">
        <v>1949</v>
      </c>
      <c r="N75" s="16"/>
      <c r="O75" s="21" t="s">
        <v>661</v>
      </c>
      <c r="P75" s="16" t="s">
        <v>662</v>
      </c>
      <c r="Q75" s="22" t="s">
        <v>63</v>
      </c>
      <c r="R75" s="23"/>
      <c r="S75" s="24"/>
      <c r="T75" s="15" t="s">
        <v>646</v>
      </c>
      <c r="U75" s="15" t="n">
        <v>38076611</v>
      </c>
    </row>
    <row r="76" customFormat="false" ht="39.75" hidden="false" customHeight="true" outlineLevel="0" collapsed="false">
      <c r="A76" s="14" t="s">
        <v>7</v>
      </c>
      <c r="B76" s="15" t="s">
        <v>635</v>
      </c>
      <c r="C76" s="16" t="s">
        <v>663</v>
      </c>
      <c r="D76" s="16" t="s">
        <v>664</v>
      </c>
      <c r="E76" s="17" t="s">
        <v>665</v>
      </c>
      <c r="F76" s="15" t="s">
        <v>639</v>
      </c>
      <c r="G76" s="15" t="s">
        <v>666</v>
      </c>
      <c r="H76" s="16" t="s">
        <v>667</v>
      </c>
      <c r="I76" s="16" t="s">
        <v>668</v>
      </c>
      <c r="J76" s="16" t="s">
        <v>669</v>
      </c>
      <c r="K76" s="18" t="n">
        <v>81</v>
      </c>
      <c r="L76" s="19" t="n">
        <v>37741000</v>
      </c>
      <c r="M76" s="20" t="n">
        <v>1984</v>
      </c>
      <c r="N76" s="16"/>
      <c r="O76" s="21" t="s">
        <v>670</v>
      </c>
      <c r="P76" s="16"/>
      <c r="Q76" s="22" t="s">
        <v>63</v>
      </c>
      <c r="R76" s="23"/>
      <c r="S76" s="24"/>
      <c r="T76" s="15" t="s">
        <v>646</v>
      </c>
      <c r="U76" s="15" t="n">
        <v>71779517</v>
      </c>
    </row>
    <row r="77" customFormat="false" ht="39.75" hidden="false" customHeight="true" outlineLevel="0" collapsed="false">
      <c r="A77" s="25" t="s">
        <v>9</v>
      </c>
      <c r="B77" s="15" t="s">
        <v>635</v>
      </c>
      <c r="C77" s="16" t="s">
        <v>671</v>
      </c>
      <c r="D77" s="16" t="s">
        <v>672</v>
      </c>
      <c r="E77" s="17" t="s">
        <v>673</v>
      </c>
      <c r="F77" s="15" t="s">
        <v>639</v>
      </c>
      <c r="G77" s="15" t="s">
        <v>674</v>
      </c>
      <c r="H77" s="16" t="s">
        <v>675</v>
      </c>
      <c r="I77" s="16" t="s">
        <v>676</v>
      </c>
      <c r="J77" s="16" t="s">
        <v>677</v>
      </c>
      <c r="K77" s="18" t="n">
        <v>166</v>
      </c>
      <c r="L77" s="19" t="n">
        <v>5359000</v>
      </c>
      <c r="M77" s="20" t="n">
        <v>1972</v>
      </c>
      <c r="N77" s="16"/>
      <c r="O77" s="21" t="s">
        <v>678</v>
      </c>
      <c r="P77" s="16"/>
      <c r="Q77" s="22" t="s">
        <v>63</v>
      </c>
      <c r="R77" s="23"/>
      <c r="S77" s="24"/>
      <c r="T77" s="15" t="s">
        <v>646</v>
      </c>
      <c r="U77" s="15" t="n">
        <v>27394913</v>
      </c>
    </row>
    <row r="78" customFormat="false" ht="39.75" hidden="false" customHeight="true" outlineLevel="0" collapsed="false">
      <c r="A78" s="25" t="s">
        <v>9</v>
      </c>
      <c r="B78" s="15" t="s">
        <v>635</v>
      </c>
      <c r="C78" s="16" t="s">
        <v>679</v>
      </c>
      <c r="D78" s="16" t="s">
        <v>680</v>
      </c>
      <c r="E78" s="17" t="s">
        <v>681</v>
      </c>
      <c r="F78" s="15" t="s">
        <v>639</v>
      </c>
      <c r="G78" s="15" t="s">
        <v>682</v>
      </c>
      <c r="H78" s="16"/>
      <c r="I78" s="16" t="s">
        <v>683</v>
      </c>
      <c r="J78" s="16" t="s">
        <v>684</v>
      </c>
      <c r="K78" s="18" t="n">
        <v>77</v>
      </c>
      <c r="L78" s="19" t="n">
        <v>3960000</v>
      </c>
      <c r="M78" s="20" t="n">
        <v>1992</v>
      </c>
      <c r="N78" s="16"/>
      <c r="O78" s="21" t="s">
        <v>685</v>
      </c>
      <c r="P78" s="16"/>
      <c r="Q78" s="22" t="s">
        <v>63</v>
      </c>
      <c r="R78" s="23"/>
      <c r="S78" s="24"/>
      <c r="T78" s="15" t="s">
        <v>646</v>
      </c>
      <c r="U78" s="15" t="n">
        <v>345994045</v>
      </c>
    </row>
    <row r="79" customFormat="false" ht="39.75" hidden="false" customHeight="true" outlineLevel="0" collapsed="false">
      <c r="A79" s="25" t="s">
        <v>9</v>
      </c>
      <c r="B79" s="15" t="s">
        <v>635</v>
      </c>
      <c r="C79" s="16" t="s">
        <v>686</v>
      </c>
      <c r="D79" s="16" t="s">
        <v>687</v>
      </c>
      <c r="E79" s="17" t="s">
        <v>688</v>
      </c>
      <c r="F79" s="15" t="s">
        <v>639</v>
      </c>
      <c r="G79" s="15" t="s">
        <v>689</v>
      </c>
      <c r="H79" s="16" t="s">
        <v>690</v>
      </c>
      <c r="I79" s="16" t="s">
        <v>691</v>
      </c>
      <c r="J79" s="16" t="s">
        <v>692</v>
      </c>
      <c r="K79" s="18" t="n">
        <v>76</v>
      </c>
      <c r="L79" s="19" t="n">
        <v>23819000</v>
      </c>
      <c r="M79" s="20" t="n">
        <v>1996</v>
      </c>
      <c r="N79" s="16"/>
      <c r="O79" s="21" t="s">
        <v>693</v>
      </c>
      <c r="P79" s="16"/>
      <c r="Q79" s="22" t="s">
        <v>63</v>
      </c>
      <c r="R79" s="23"/>
      <c r="S79" s="24"/>
      <c r="T79" s="15" t="s">
        <v>646</v>
      </c>
      <c r="U79" s="15" t="n">
        <v>450765740</v>
      </c>
    </row>
    <row r="80" customFormat="false" ht="39.75" hidden="false" customHeight="true" outlineLevel="0" collapsed="false">
      <c r="A80" s="25" t="s">
        <v>9</v>
      </c>
      <c r="B80" s="15" t="s">
        <v>635</v>
      </c>
      <c r="C80" s="16" t="s">
        <v>694</v>
      </c>
      <c r="D80" s="16" t="s">
        <v>695</v>
      </c>
      <c r="E80" s="17" t="s">
        <v>696</v>
      </c>
      <c r="F80" s="15" t="s">
        <v>639</v>
      </c>
      <c r="G80" s="15" t="s">
        <v>697</v>
      </c>
      <c r="H80" s="16" t="s">
        <v>698</v>
      </c>
      <c r="I80" s="16" t="s">
        <v>699</v>
      </c>
      <c r="J80" s="16" t="s">
        <v>700</v>
      </c>
      <c r="K80" s="18" t="n">
        <v>61</v>
      </c>
      <c r="L80" s="19" t="n">
        <v>4335000</v>
      </c>
      <c r="M80" s="20" t="n">
        <v>1996</v>
      </c>
      <c r="N80" s="16"/>
      <c r="O80" s="21" t="s">
        <v>701</v>
      </c>
      <c r="P80" s="16" t="s">
        <v>702</v>
      </c>
      <c r="Q80" s="22" t="s">
        <v>63</v>
      </c>
      <c r="R80" s="23"/>
      <c r="S80" s="24"/>
      <c r="T80" s="15" t="s">
        <v>646</v>
      </c>
      <c r="U80" s="15" t="n">
        <v>122601758</v>
      </c>
    </row>
    <row r="81" customFormat="false" ht="39.75" hidden="false" customHeight="true" outlineLevel="0" collapsed="false">
      <c r="A81" s="25" t="s">
        <v>9</v>
      </c>
      <c r="B81" s="15" t="s">
        <v>635</v>
      </c>
      <c r="C81" s="16" t="s">
        <v>703</v>
      </c>
      <c r="D81" s="16" t="s">
        <v>704</v>
      </c>
      <c r="E81" s="17" t="s">
        <v>705</v>
      </c>
      <c r="F81" s="15" t="s">
        <v>639</v>
      </c>
      <c r="G81" s="15" t="s">
        <v>706</v>
      </c>
      <c r="H81" s="16"/>
      <c r="I81" s="16" t="s">
        <v>707</v>
      </c>
      <c r="J81" s="16" t="s">
        <v>708</v>
      </c>
      <c r="K81" s="18" t="n">
        <v>42</v>
      </c>
      <c r="L81" s="19" t="n">
        <v>52519000</v>
      </c>
      <c r="M81" s="20" t="n">
        <v>2003</v>
      </c>
      <c r="N81" s="16"/>
      <c r="O81" s="21" t="s">
        <v>709</v>
      </c>
      <c r="P81" s="16" t="s">
        <v>710</v>
      </c>
      <c r="Q81" s="22" t="s">
        <v>63</v>
      </c>
      <c r="R81" s="23"/>
      <c r="S81" s="24"/>
      <c r="T81" s="15" t="s">
        <v>646</v>
      </c>
      <c r="U81" s="15" t="n">
        <v>722847</v>
      </c>
    </row>
    <row r="82" customFormat="false" ht="39.75" hidden="false" customHeight="true" outlineLevel="0" collapsed="false">
      <c r="A82" s="25" t="s">
        <v>9</v>
      </c>
      <c r="B82" s="15" t="s">
        <v>635</v>
      </c>
      <c r="C82" s="16" t="s">
        <v>711</v>
      </c>
      <c r="D82" s="16" t="s">
        <v>712</v>
      </c>
      <c r="E82" s="17" t="s">
        <v>713</v>
      </c>
      <c r="F82" s="15" t="s">
        <v>639</v>
      </c>
      <c r="G82" s="15" t="s">
        <v>714</v>
      </c>
      <c r="H82" s="16"/>
      <c r="I82" s="16" t="s">
        <v>715</v>
      </c>
      <c r="J82" s="16" t="s">
        <v>716</v>
      </c>
      <c r="K82" s="18" t="n">
        <v>41</v>
      </c>
      <c r="L82" s="19" t="n">
        <v>8845000</v>
      </c>
      <c r="M82" s="20" t="n">
        <v>1850</v>
      </c>
      <c r="N82" s="16"/>
      <c r="O82" s="21" t="s">
        <v>717</v>
      </c>
      <c r="P82" s="16" t="s">
        <v>718</v>
      </c>
      <c r="Q82" s="22" t="s">
        <v>63</v>
      </c>
      <c r="R82" s="23"/>
      <c r="S82" s="24"/>
      <c r="T82" s="15" t="s">
        <v>646</v>
      </c>
      <c r="U82" s="15" t="n">
        <v>87149342</v>
      </c>
    </row>
    <row r="83" customFormat="false" ht="39.75" hidden="false" customHeight="true" outlineLevel="0" collapsed="false">
      <c r="A83" s="25" t="s">
        <v>9</v>
      </c>
      <c r="B83" s="15" t="s">
        <v>635</v>
      </c>
      <c r="C83" s="16" t="s">
        <v>719</v>
      </c>
      <c r="D83" s="16" t="s">
        <v>720</v>
      </c>
      <c r="E83" s="17" t="s">
        <v>721</v>
      </c>
      <c r="F83" s="15" t="s">
        <v>639</v>
      </c>
      <c r="G83" s="15" t="s">
        <v>722</v>
      </c>
      <c r="H83" s="16" t="s">
        <v>723</v>
      </c>
      <c r="I83" s="16" t="s">
        <v>724</v>
      </c>
      <c r="J83" s="16" t="s">
        <v>725</v>
      </c>
      <c r="K83" s="18" t="n">
        <v>31</v>
      </c>
      <c r="L83" s="19" t="n">
        <v>18925000</v>
      </c>
      <c r="M83" s="20" t="n">
        <v>1938</v>
      </c>
      <c r="N83" s="16"/>
      <c r="O83" s="21" t="s">
        <v>726</v>
      </c>
      <c r="P83" s="16"/>
      <c r="Q83" s="22" t="s">
        <v>63</v>
      </c>
      <c r="R83" s="23"/>
      <c r="S83" s="24"/>
      <c r="T83" s="15" t="s">
        <v>646</v>
      </c>
      <c r="U83" s="15" t="n">
        <v>64980067</v>
      </c>
    </row>
    <row r="84" customFormat="false" ht="39.75" hidden="false" customHeight="true" outlineLevel="0" collapsed="false">
      <c r="A84" s="25" t="s">
        <v>9</v>
      </c>
      <c r="B84" s="15" t="s">
        <v>635</v>
      </c>
      <c r="C84" s="16" t="s">
        <v>727</v>
      </c>
      <c r="D84" s="16" t="s">
        <v>728</v>
      </c>
      <c r="E84" s="17" t="s">
        <v>729</v>
      </c>
      <c r="F84" s="15" t="s">
        <v>639</v>
      </c>
      <c r="G84" s="15" t="s">
        <v>730</v>
      </c>
      <c r="H84" s="16"/>
      <c r="I84" s="16"/>
      <c r="J84" s="16" t="s">
        <v>731</v>
      </c>
      <c r="K84" s="18" t="n">
        <v>22</v>
      </c>
      <c r="L84" s="19" t="n">
        <v>3532000</v>
      </c>
      <c r="M84" s="20" t="n">
        <v>1984</v>
      </c>
      <c r="N84" s="16" t="s">
        <v>732</v>
      </c>
      <c r="O84" s="21" t="s">
        <v>733</v>
      </c>
      <c r="P84" s="16"/>
      <c r="Q84" s="22" t="s">
        <v>63</v>
      </c>
      <c r="R84" s="23"/>
      <c r="S84" s="24"/>
      <c r="T84" s="15" t="s">
        <v>646</v>
      </c>
      <c r="U84" s="15" t="n">
        <v>14041218</v>
      </c>
    </row>
    <row r="85" customFormat="false" ht="39.75" hidden="false" customHeight="true" outlineLevel="0" collapsed="false">
      <c r="A85" s="26" t="s">
        <v>11</v>
      </c>
      <c r="B85" s="15" t="s">
        <v>635</v>
      </c>
      <c r="C85" s="16" t="s">
        <v>734</v>
      </c>
      <c r="D85" s="16" t="s">
        <v>735</v>
      </c>
      <c r="E85" s="17" t="s">
        <v>736</v>
      </c>
      <c r="F85" s="15" t="s">
        <v>639</v>
      </c>
      <c r="G85" s="15" t="s">
        <v>737</v>
      </c>
      <c r="H85" s="16"/>
      <c r="I85" s="16"/>
      <c r="J85" s="16" t="s">
        <v>738</v>
      </c>
      <c r="K85" s="18" t="n">
        <v>346</v>
      </c>
      <c r="L85" s="19" t="n">
        <v>239291000</v>
      </c>
      <c r="M85" s="20" t="n">
        <v>1978</v>
      </c>
      <c r="N85" s="16" t="s">
        <v>739</v>
      </c>
      <c r="O85" s="21" t="s">
        <v>740</v>
      </c>
      <c r="P85" s="16" t="s">
        <v>741</v>
      </c>
      <c r="Q85" s="22" t="s">
        <v>63</v>
      </c>
      <c r="R85" s="23"/>
      <c r="S85" s="24"/>
      <c r="T85" s="15" t="s">
        <v>646</v>
      </c>
      <c r="U85" s="15" t="n">
        <v>38800308</v>
      </c>
    </row>
    <row r="86" customFormat="false" ht="39.75" hidden="false" customHeight="true" outlineLevel="0" collapsed="false">
      <c r="A86" s="26" t="s">
        <v>11</v>
      </c>
      <c r="B86" s="15" t="s">
        <v>635</v>
      </c>
      <c r="C86" s="16" t="s">
        <v>742</v>
      </c>
      <c r="D86" s="16" t="s">
        <v>743</v>
      </c>
      <c r="E86" s="17" t="s">
        <v>744</v>
      </c>
      <c r="F86" s="15" t="s">
        <v>639</v>
      </c>
      <c r="G86" s="15" t="s">
        <v>745</v>
      </c>
      <c r="H86" s="16"/>
      <c r="I86" s="16"/>
      <c r="J86" s="16" t="s">
        <v>746</v>
      </c>
      <c r="K86" s="18" t="n">
        <v>165</v>
      </c>
      <c r="L86" s="19" t="n">
        <v>16673000</v>
      </c>
      <c r="M86" s="20" t="n">
        <v>2001</v>
      </c>
      <c r="N86" s="16" t="s">
        <v>747</v>
      </c>
      <c r="O86" s="21" t="s">
        <v>748</v>
      </c>
      <c r="P86" s="16" t="s">
        <v>749</v>
      </c>
      <c r="Q86" s="22" t="s">
        <v>63</v>
      </c>
      <c r="R86" s="23"/>
      <c r="S86" s="24"/>
      <c r="T86" s="15" t="s">
        <v>646</v>
      </c>
      <c r="U86" s="15" t="n">
        <v>31983788</v>
      </c>
    </row>
    <row r="87" customFormat="false" ht="39.75" hidden="false" customHeight="true" outlineLevel="0" collapsed="false">
      <c r="A87" s="26" t="s">
        <v>11</v>
      </c>
      <c r="B87" s="15" t="s">
        <v>635</v>
      </c>
      <c r="C87" s="16" t="s">
        <v>750</v>
      </c>
      <c r="D87" s="16" t="s">
        <v>751</v>
      </c>
      <c r="E87" s="17" t="s">
        <v>752</v>
      </c>
      <c r="F87" s="15" t="s">
        <v>639</v>
      </c>
      <c r="G87" s="15" t="s">
        <v>753</v>
      </c>
      <c r="H87" s="16"/>
      <c r="I87" s="16" t="s">
        <v>754</v>
      </c>
      <c r="J87" s="16" t="s">
        <v>755</v>
      </c>
      <c r="K87" s="18" t="n">
        <v>42</v>
      </c>
      <c r="L87" s="19" t="n">
        <v>10558000</v>
      </c>
      <c r="M87" s="20" t="n">
        <v>1967</v>
      </c>
      <c r="N87" s="16"/>
      <c r="O87" s="21" t="s">
        <v>756</v>
      </c>
      <c r="P87" s="16"/>
      <c r="Q87" s="22" t="s">
        <v>63</v>
      </c>
      <c r="R87" s="23"/>
      <c r="S87" s="24"/>
      <c r="T87" s="15" t="s">
        <v>646</v>
      </c>
      <c r="U87" s="15" t="n">
        <v>354855362</v>
      </c>
    </row>
    <row r="88" customFormat="false" ht="39.75" hidden="false" customHeight="true" outlineLevel="0" collapsed="false">
      <c r="A88" s="26" t="s">
        <v>11</v>
      </c>
      <c r="B88" s="15" t="s">
        <v>635</v>
      </c>
      <c r="C88" s="16" t="s">
        <v>757</v>
      </c>
      <c r="D88" s="16" t="s">
        <v>758</v>
      </c>
      <c r="E88" s="17" t="s">
        <v>759</v>
      </c>
      <c r="F88" s="15" t="s">
        <v>639</v>
      </c>
      <c r="G88" s="15" t="s">
        <v>760</v>
      </c>
      <c r="H88" s="16"/>
      <c r="I88" s="16" t="s">
        <v>761</v>
      </c>
      <c r="J88" s="16" t="s">
        <v>762</v>
      </c>
      <c r="K88" s="18" t="n">
        <v>38</v>
      </c>
      <c r="L88" s="19" t="n">
        <v>16640000</v>
      </c>
      <c r="M88" s="20" t="n">
        <v>2007</v>
      </c>
      <c r="N88" s="16"/>
      <c r="O88" s="21" t="s">
        <v>763</v>
      </c>
      <c r="P88" s="16"/>
      <c r="Q88" s="22" t="s">
        <v>63</v>
      </c>
      <c r="R88" s="23"/>
      <c r="S88" s="24"/>
      <c r="T88" s="15" t="s">
        <v>646</v>
      </c>
      <c r="U88" s="15" t="n">
        <v>357482820</v>
      </c>
    </row>
    <row r="89" customFormat="false" ht="39.75" hidden="false" customHeight="true" outlineLevel="0" collapsed="false">
      <c r="A89" s="26" t="s">
        <v>11</v>
      </c>
      <c r="B89" s="15" t="s">
        <v>635</v>
      </c>
      <c r="C89" s="16" t="s">
        <v>764</v>
      </c>
      <c r="D89" s="16" t="s">
        <v>765</v>
      </c>
      <c r="E89" s="17" t="s">
        <v>766</v>
      </c>
      <c r="F89" s="15" t="s">
        <v>639</v>
      </c>
      <c r="G89" s="15" t="s">
        <v>767</v>
      </c>
      <c r="H89" s="16"/>
      <c r="I89" s="16" t="s">
        <v>768</v>
      </c>
      <c r="J89" s="16" t="s">
        <v>769</v>
      </c>
      <c r="K89" s="18" t="n">
        <v>25</v>
      </c>
      <c r="L89" s="19" t="n">
        <v>4422000</v>
      </c>
      <c r="M89" s="20" t="n">
        <v>2000</v>
      </c>
      <c r="N89" s="16"/>
      <c r="O89" s="21" t="s">
        <v>770</v>
      </c>
      <c r="P89" s="16" t="s">
        <v>771</v>
      </c>
      <c r="Q89" s="22" t="s">
        <v>63</v>
      </c>
      <c r="R89" s="23"/>
      <c r="S89" s="24"/>
      <c r="T89" s="15" t="s">
        <v>646</v>
      </c>
      <c r="U89" s="15" t="n">
        <v>12354801</v>
      </c>
    </row>
    <row r="90" customFormat="false" ht="39.75" hidden="false" customHeight="true" outlineLevel="0" collapsed="false">
      <c r="A90" s="26" t="s">
        <v>11</v>
      </c>
      <c r="B90" s="15" t="s">
        <v>635</v>
      </c>
      <c r="C90" s="16" t="s">
        <v>772</v>
      </c>
      <c r="D90" s="16" t="s">
        <v>773</v>
      </c>
      <c r="E90" s="17" t="s">
        <v>774</v>
      </c>
      <c r="F90" s="15" t="s">
        <v>639</v>
      </c>
      <c r="G90" s="15" t="s">
        <v>775</v>
      </c>
      <c r="H90" s="16"/>
      <c r="I90" s="16" t="s">
        <v>776</v>
      </c>
      <c r="J90" s="16" t="s">
        <v>777</v>
      </c>
      <c r="K90" s="18" t="n">
        <v>25</v>
      </c>
      <c r="L90" s="19" t="n">
        <v>4932000</v>
      </c>
      <c r="M90" s="20" t="n">
        <v>2000</v>
      </c>
      <c r="N90" s="16"/>
      <c r="O90" s="21" t="s">
        <v>778</v>
      </c>
      <c r="P90" s="16" t="s">
        <v>779</v>
      </c>
      <c r="Q90" s="22" t="s">
        <v>63</v>
      </c>
      <c r="R90" s="23"/>
      <c r="S90" s="24"/>
      <c r="T90" s="15" t="s">
        <v>646</v>
      </c>
      <c r="U90" s="15" t="n">
        <v>379382675</v>
      </c>
    </row>
    <row r="91" customFormat="false" ht="39.75" hidden="false" customHeight="true" outlineLevel="0" collapsed="false">
      <c r="A91" s="26" t="s">
        <v>11</v>
      </c>
      <c r="B91" s="15" t="s">
        <v>635</v>
      </c>
      <c r="C91" s="16" t="s">
        <v>780</v>
      </c>
      <c r="D91" s="16" t="s">
        <v>781</v>
      </c>
      <c r="E91" s="17" t="s">
        <v>782</v>
      </c>
      <c r="F91" s="15" t="s">
        <v>639</v>
      </c>
      <c r="G91" s="15" t="s">
        <v>783</v>
      </c>
      <c r="H91" s="16"/>
      <c r="I91" s="16" t="s">
        <v>784</v>
      </c>
      <c r="J91" s="16" t="s">
        <v>785</v>
      </c>
      <c r="K91" s="18" t="n">
        <v>21</v>
      </c>
      <c r="L91" s="19" t="n">
        <v>4064000</v>
      </c>
      <c r="M91" s="20" t="n">
        <v>2010</v>
      </c>
      <c r="N91" s="16"/>
      <c r="O91" s="21" t="s">
        <v>786</v>
      </c>
      <c r="P91" s="16"/>
      <c r="Q91" s="22" t="s">
        <v>63</v>
      </c>
      <c r="R91" s="23"/>
      <c r="S91" s="24"/>
      <c r="T91" s="15" t="s">
        <v>646</v>
      </c>
      <c r="U91" s="15" t="n">
        <v>355384049</v>
      </c>
    </row>
    <row r="92" customFormat="false" ht="39.75" hidden="false" customHeight="true" outlineLevel="0" collapsed="false">
      <c r="A92" s="14" t="s">
        <v>7</v>
      </c>
      <c r="B92" s="15" t="s">
        <v>787</v>
      </c>
      <c r="C92" s="16" t="s">
        <v>788</v>
      </c>
      <c r="D92" s="16" t="s">
        <v>789</v>
      </c>
      <c r="E92" s="17" t="s">
        <v>790</v>
      </c>
      <c r="F92" s="15" t="s">
        <v>791</v>
      </c>
      <c r="G92" s="15" t="s">
        <v>792</v>
      </c>
      <c r="H92" s="16"/>
      <c r="I92" s="16" t="s">
        <v>793</v>
      </c>
      <c r="J92" s="16" t="s">
        <v>794</v>
      </c>
      <c r="K92" s="18" t="n">
        <v>125</v>
      </c>
      <c r="L92" s="19" t="n">
        <v>79566000</v>
      </c>
      <c r="M92" s="20" t="n">
        <v>1987</v>
      </c>
      <c r="N92" s="16"/>
      <c r="O92" s="21" t="s">
        <v>795</v>
      </c>
      <c r="P92" s="16" t="s">
        <v>796</v>
      </c>
      <c r="Q92" s="22" t="s">
        <v>63</v>
      </c>
      <c r="R92" s="23"/>
      <c r="S92" s="24"/>
      <c r="T92" s="15" t="s">
        <v>797</v>
      </c>
      <c r="U92" s="15" t="n">
        <v>184991889</v>
      </c>
    </row>
    <row r="93" customFormat="false" ht="39.75" hidden="false" customHeight="true" outlineLevel="0" collapsed="false">
      <c r="A93" s="14" t="s">
        <v>7</v>
      </c>
      <c r="B93" s="15" t="s">
        <v>787</v>
      </c>
      <c r="C93" s="16" t="s">
        <v>798</v>
      </c>
      <c r="D93" s="16" t="s">
        <v>799</v>
      </c>
      <c r="E93" s="17" t="s">
        <v>800</v>
      </c>
      <c r="F93" s="15" t="s">
        <v>801</v>
      </c>
      <c r="G93" s="15" t="s">
        <v>802</v>
      </c>
      <c r="H93" s="16"/>
      <c r="I93" s="16" t="s">
        <v>803</v>
      </c>
      <c r="J93" s="16" t="s">
        <v>804</v>
      </c>
      <c r="K93" s="18" t="n">
        <v>98</v>
      </c>
      <c r="L93" s="19" t="n">
        <v>27457000</v>
      </c>
      <c r="M93" s="20" t="n">
        <v>1958</v>
      </c>
      <c r="N93" s="16"/>
      <c r="O93" s="21" t="s">
        <v>805</v>
      </c>
      <c r="P93" s="16" t="s">
        <v>806</v>
      </c>
      <c r="Q93" s="22" t="s">
        <v>63</v>
      </c>
      <c r="R93" s="23"/>
      <c r="S93" s="24"/>
      <c r="T93" s="15" t="s">
        <v>807</v>
      </c>
      <c r="U93" s="15" t="n">
        <v>20517658</v>
      </c>
    </row>
    <row r="94" customFormat="false" ht="39.75" hidden="false" customHeight="true" outlineLevel="0" collapsed="false">
      <c r="A94" s="25" t="s">
        <v>9</v>
      </c>
      <c r="B94" s="15" t="s">
        <v>787</v>
      </c>
      <c r="C94" s="16" t="s">
        <v>808</v>
      </c>
      <c r="D94" s="16" t="s">
        <v>309</v>
      </c>
      <c r="E94" s="17" t="s">
        <v>809</v>
      </c>
      <c r="F94" s="15" t="s">
        <v>810</v>
      </c>
      <c r="G94" s="15" t="s">
        <v>811</v>
      </c>
      <c r="H94" s="16"/>
      <c r="I94" s="16"/>
      <c r="J94" s="16" t="s">
        <v>812</v>
      </c>
      <c r="K94" s="18" t="n">
        <v>153</v>
      </c>
      <c r="L94" s="19" t="n">
        <v>30140000</v>
      </c>
      <c r="M94" s="20" t="n">
        <v>2014</v>
      </c>
      <c r="N94" s="16"/>
      <c r="O94" s="21" t="s">
        <v>813</v>
      </c>
      <c r="P94" s="16"/>
      <c r="Q94" s="22" t="s">
        <v>63</v>
      </c>
      <c r="R94" s="23"/>
      <c r="S94" s="24"/>
      <c r="T94" s="15" t="s">
        <v>814</v>
      </c>
      <c r="U94" s="15" t="n">
        <v>481093210</v>
      </c>
    </row>
    <row r="95" customFormat="false" ht="39.75" hidden="false" customHeight="true" outlineLevel="0" collapsed="false">
      <c r="A95" s="25" t="s">
        <v>9</v>
      </c>
      <c r="B95" s="15" t="s">
        <v>787</v>
      </c>
      <c r="C95" s="16" t="s">
        <v>815</v>
      </c>
      <c r="D95" s="16" t="s">
        <v>816</v>
      </c>
      <c r="E95" s="17" t="s">
        <v>817</v>
      </c>
      <c r="F95" s="15" t="s">
        <v>810</v>
      </c>
      <c r="G95" s="15" t="s">
        <v>818</v>
      </c>
      <c r="H95" s="16"/>
      <c r="I95" s="16" t="s">
        <v>819</v>
      </c>
      <c r="J95" s="16" t="s">
        <v>820</v>
      </c>
      <c r="K95" s="18" t="n">
        <v>141</v>
      </c>
      <c r="L95" s="19" t="n">
        <v>11685000</v>
      </c>
      <c r="M95" s="20"/>
      <c r="N95" s="16"/>
      <c r="O95" s="21" t="s">
        <v>821</v>
      </c>
      <c r="P95" s="16" t="s">
        <v>822</v>
      </c>
      <c r="Q95" s="22" t="s">
        <v>63</v>
      </c>
      <c r="R95" s="23"/>
      <c r="S95" s="24"/>
      <c r="T95" s="15" t="s">
        <v>814</v>
      </c>
      <c r="U95" s="15" t="n">
        <v>371652590</v>
      </c>
    </row>
    <row r="96" customFormat="false" ht="39.75" hidden="false" customHeight="true" outlineLevel="0" collapsed="false">
      <c r="A96" s="25" t="s">
        <v>9</v>
      </c>
      <c r="B96" s="15" t="s">
        <v>787</v>
      </c>
      <c r="C96" s="16" t="s">
        <v>823</v>
      </c>
      <c r="D96" s="16" t="s">
        <v>824</v>
      </c>
      <c r="E96" s="17" t="s">
        <v>825</v>
      </c>
      <c r="F96" s="15" t="s">
        <v>801</v>
      </c>
      <c r="G96" s="15" t="s">
        <v>826</v>
      </c>
      <c r="H96" s="16"/>
      <c r="I96" s="16" t="s">
        <v>827</v>
      </c>
      <c r="J96" s="16" t="s">
        <v>828</v>
      </c>
      <c r="K96" s="18" t="n">
        <v>108</v>
      </c>
      <c r="L96" s="19" t="n">
        <v>22537000</v>
      </c>
      <c r="M96" s="20" t="n">
        <v>1972</v>
      </c>
      <c r="N96" s="16"/>
      <c r="O96" s="21" t="s">
        <v>829</v>
      </c>
      <c r="P96" s="16"/>
      <c r="Q96" s="22" t="s">
        <v>63</v>
      </c>
      <c r="R96" s="23"/>
      <c r="S96" s="24"/>
      <c r="T96" s="15" t="s">
        <v>807</v>
      </c>
      <c r="U96" s="15" t="n">
        <v>55133071</v>
      </c>
    </row>
    <row r="97" customFormat="false" ht="39.75" hidden="false" customHeight="true" outlineLevel="0" collapsed="false">
      <c r="A97" s="25" t="s">
        <v>9</v>
      </c>
      <c r="B97" s="15" t="s">
        <v>787</v>
      </c>
      <c r="C97" s="16" t="s">
        <v>830</v>
      </c>
      <c r="D97" s="16" t="s">
        <v>831</v>
      </c>
      <c r="E97" s="17" t="s">
        <v>832</v>
      </c>
      <c r="F97" s="15" t="s">
        <v>791</v>
      </c>
      <c r="G97" s="15" t="s">
        <v>833</v>
      </c>
      <c r="H97" s="16"/>
      <c r="I97" s="16" t="s">
        <v>834</v>
      </c>
      <c r="J97" s="16" t="s">
        <v>835</v>
      </c>
      <c r="K97" s="18" t="n">
        <v>100</v>
      </c>
      <c r="L97" s="19" t="n">
        <v>17480000</v>
      </c>
      <c r="M97" s="20" t="n">
        <v>1894</v>
      </c>
      <c r="N97" s="16"/>
      <c r="O97" s="21" t="s">
        <v>836</v>
      </c>
      <c r="P97" s="16" t="s">
        <v>837</v>
      </c>
      <c r="Q97" s="22" t="s">
        <v>63</v>
      </c>
      <c r="R97" s="23"/>
      <c r="S97" s="24"/>
      <c r="T97" s="15" t="s">
        <v>797</v>
      </c>
      <c r="U97" s="15" t="n">
        <v>128385304</v>
      </c>
    </row>
    <row r="98" customFormat="false" ht="39.75" hidden="false" customHeight="true" outlineLevel="0" collapsed="false">
      <c r="A98" s="25" t="s">
        <v>9</v>
      </c>
      <c r="B98" s="15" t="s">
        <v>787</v>
      </c>
      <c r="C98" s="16" t="s">
        <v>838</v>
      </c>
      <c r="D98" s="16" t="s">
        <v>839</v>
      </c>
      <c r="E98" s="17" t="s">
        <v>840</v>
      </c>
      <c r="F98" s="15" t="s">
        <v>810</v>
      </c>
      <c r="G98" s="15" t="s">
        <v>841</v>
      </c>
      <c r="H98" s="16"/>
      <c r="I98" s="16" t="s">
        <v>842</v>
      </c>
      <c r="J98" s="16" t="s">
        <v>843</v>
      </c>
      <c r="K98" s="18" t="n">
        <v>91</v>
      </c>
      <c r="L98" s="19" t="n">
        <v>16655000</v>
      </c>
      <c r="M98" s="20" t="n">
        <v>1990</v>
      </c>
      <c r="N98" s="16"/>
      <c r="O98" s="21" t="s">
        <v>844</v>
      </c>
      <c r="P98" s="16" t="s">
        <v>845</v>
      </c>
      <c r="Q98" s="22" t="s">
        <v>63</v>
      </c>
      <c r="R98" s="23"/>
      <c r="S98" s="24"/>
      <c r="T98" s="15" t="s">
        <v>814</v>
      </c>
      <c r="U98" s="15" t="n">
        <v>1160266888</v>
      </c>
    </row>
    <row r="99" customFormat="false" ht="39.75" hidden="false" customHeight="true" outlineLevel="0" collapsed="false">
      <c r="A99" s="25" t="s">
        <v>9</v>
      </c>
      <c r="B99" s="15" t="s">
        <v>787</v>
      </c>
      <c r="C99" s="16" t="s">
        <v>846</v>
      </c>
      <c r="D99" s="16" t="s">
        <v>847</v>
      </c>
      <c r="E99" s="17" t="s">
        <v>848</v>
      </c>
      <c r="F99" s="15" t="s">
        <v>801</v>
      </c>
      <c r="G99" s="15" t="s">
        <v>849</v>
      </c>
      <c r="H99" s="16"/>
      <c r="I99" s="16"/>
      <c r="J99" s="16" t="s">
        <v>850</v>
      </c>
      <c r="K99" s="18" t="n">
        <v>70</v>
      </c>
      <c r="L99" s="19" t="n">
        <v>25018000</v>
      </c>
      <c r="M99" s="20" t="n">
        <v>1918</v>
      </c>
      <c r="N99" s="16"/>
      <c r="O99" s="21" t="s">
        <v>851</v>
      </c>
      <c r="P99" s="16"/>
      <c r="Q99" s="22" t="s">
        <v>63</v>
      </c>
      <c r="R99" s="23"/>
      <c r="S99" s="24"/>
      <c r="T99" s="15" t="s">
        <v>807</v>
      </c>
      <c r="U99" s="15" t="n">
        <v>74531004</v>
      </c>
    </row>
    <row r="100" customFormat="false" ht="39.75" hidden="false" customHeight="true" outlineLevel="0" collapsed="false">
      <c r="A100" s="25" t="s">
        <v>9</v>
      </c>
      <c r="B100" s="15" t="s">
        <v>787</v>
      </c>
      <c r="C100" s="16" t="s">
        <v>852</v>
      </c>
      <c r="D100" s="16" t="s">
        <v>853</v>
      </c>
      <c r="E100" s="17" t="s">
        <v>854</v>
      </c>
      <c r="F100" s="15" t="s">
        <v>810</v>
      </c>
      <c r="G100" s="15" t="s">
        <v>855</v>
      </c>
      <c r="H100" s="16"/>
      <c r="I100" s="16" t="s">
        <v>856</v>
      </c>
      <c r="J100" s="16" t="s">
        <v>857</v>
      </c>
      <c r="K100" s="18" t="n">
        <v>50</v>
      </c>
      <c r="L100" s="19" t="n">
        <v>6726000</v>
      </c>
      <c r="M100" s="20" t="n">
        <v>1956</v>
      </c>
      <c r="N100" s="16"/>
      <c r="O100" s="21" t="s">
        <v>858</v>
      </c>
      <c r="P100" s="16"/>
      <c r="Q100" s="22" t="s">
        <v>63</v>
      </c>
      <c r="R100" s="23"/>
      <c r="S100" s="24"/>
      <c r="T100" s="15" t="s">
        <v>814</v>
      </c>
      <c r="U100" s="15" t="n">
        <v>353908367</v>
      </c>
    </row>
    <row r="101" customFormat="false" ht="39.75" hidden="false" customHeight="true" outlineLevel="0" collapsed="false">
      <c r="A101" s="25" t="s">
        <v>9</v>
      </c>
      <c r="B101" s="15" t="s">
        <v>787</v>
      </c>
      <c r="C101" s="16" t="s">
        <v>859</v>
      </c>
      <c r="D101" s="16" t="s">
        <v>860</v>
      </c>
      <c r="E101" s="17" t="s">
        <v>861</v>
      </c>
      <c r="F101" s="15" t="s">
        <v>791</v>
      </c>
      <c r="G101" s="15" t="s">
        <v>862</v>
      </c>
      <c r="H101" s="16"/>
      <c r="I101" s="16" t="s">
        <v>863</v>
      </c>
      <c r="J101" s="16" t="s">
        <v>864</v>
      </c>
      <c r="K101" s="18" t="n">
        <v>30</v>
      </c>
      <c r="L101" s="19" t="n">
        <v>8569000</v>
      </c>
      <c r="M101" s="20" t="n">
        <v>1951</v>
      </c>
      <c r="N101" s="16"/>
      <c r="O101" s="21" t="s">
        <v>865</v>
      </c>
      <c r="P101" s="16"/>
      <c r="Q101" s="22" t="s">
        <v>63</v>
      </c>
      <c r="R101" s="23"/>
      <c r="S101" s="24"/>
      <c r="T101" s="15" t="s">
        <v>797</v>
      </c>
      <c r="U101" s="15" t="n">
        <v>36425109</v>
      </c>
    </row>
    <row r="102" customFormat="false" ht="39.75" hidden="false" customHeight="true" outlineLevel="0" collapsed="false">
      <c r="A102" s="25" t="s">
        <v>9</v>
      </c>
      <c r="B102" s="15" t="s">
        <v>787</v>
      </c>
      <c r="C102" s="16" t="s">
        <v>866</v>
      </c>
      <c r="D102" s="16" t="s">
        <v>867</v>
      </c>
      <c r="E102" s="17" t="s">
        <v>868</v>
      </c>
      <c r="F102" s="15" t="s">
        <v>810</v>
      </c>
      <c r="G102" s="15" t="s">
        <v>869</v>
      </c>
      <c r="H102" s="16"/>
      <c r="I102" s="16" t="s">
        <v>870</v>
      </c>
      <c r="J102" s="16" t="s">
        <v>871</v>
      </c>
      <c r="K102" s="18" t="n">
        <v>23</v>
      </c>
      <c r="L102" s="19" t="n">
        <v>4509000</v>
      </c>
      <c r="M102" s="20" t="n">
        <v>1973</v>
      </c>
      <c r="N102" s="16"/>
      <c r="O102" s="21" t="s">
        <v>872</v>
      </c>
      <c r="P102" s="16" t="s">
        <v>873</v>
      </c>
      <c r="Q102" s="22" t="s">
        <v>63</v>
      </c>
      <c r="R102" s="23"/>
      <c r="S102" s="24"/>
      <c r="T102" s="15" t="s">
        <v>814</v>
      </c>
      <c r="U102" s="15" t="n">
        <v>85656175</v>
      </c>
    </row>
    <row r="103" customFormat="false" ht="39.75" hidden="false" customHeight="true" outlineLevel="0" collapsed="false">
      <c r="A103" s="26" t="s">
        <v>11</v>
      </c>
      <c r="B103" s="15" t="s">
        <v>787</v>
      </c>
      <c r="C103" s="16" t="s">
        <v>874</v>
      </c>
      <c r="D103" s="16" t="s">
        <v>875</v>
      </c>
      <c r="E103" s="17" t="s">
        <v>876</v>
      </c>
      <c r="F103" s="15" t="s">
        <v>810</v>
      </c>
      <c r="G103" s="15" t="s">
        <v>877</v>
      </c>
      <c r="H103" s="16"/>
      <c r="I103" s="16" t="s">
        <v>878</v>
      </c>
      <c r="J103" s="16" t="s">
        <v>879</v>
      </c>
      <c r="K103" s="18" t="n">
        <v>249</v>
      </c>
      <c r="L103" s="19" t="n">
        <v>13695000</v>
      </c>
      <c r="M103" s="20" t="n">
        <v>1998</v>
      </c>
      <c r="N103" s="16"/>
      <c r="O103" s="21" t="s">
        <v>880</v>
      </c>
      <c r="P103" s="16" t="s">
        <v>881</v>
      </c>
      <c r="Q103" s="22" t="s">
        <v>63</v>
      </c>
      <c r="R103" s="23"/>
      <c r="S103" s="24"/>
      <c r="T103" s="15" t="s">
        <v>814</v>
      </c>
      <c r="U103" s="15" t="n">
        <v>11289715</v>
      </c>
    </row>
    <row r="104" customFormat="false" ht="39.75" hidden="false" customHeight="true" outlineLevel="0" collapsed="false">
      <c r="A104" s="26" t="s">
        <v>11</v>
      </c>
      <c r="B104" s="15" t="s">
        <v>787</v>
      </c>
      <c r="C104" s="16" t="s">
        <v>882</v>
      </c>
      <c r="D104" s="16" t="s">
        <v>883</v>
      </c>
      <c r="E104" s="17" t="s">
        <v>884</v>
      </c>
      <c r="F104" s="15" t="s">
        <v>801</v>
      </c>
      <c r="G104" s="15" t="s">
        <v>885</v>
      </c>
      <c r="H104" s="16"/>
      <c r="I104" s="16" t="s">
        <v>886</v>
      </c>
      <c r="J104" s="16" t="s">
        <v>887</v>
      </c>
      <c r="K104" s="18" t="n">
        <v>32</v>
      </c>
      <c r="L104" s="19" t="n">
        <v>3364000</v>
      </c>
      <c r="M104" s="20"/>
      <c r="N104" s="16"/>
      <c r="O104" s="21" t="s">
        <v>888</v>
      </c>
      <c r="P104" s="16"/>
      <c r="Q104" s="22" t="s">
        <v>63</v>
      </c>
      <c r="R104" s="23"/>
      <c r="S104" s="24"/>
      <c r="T104" s="15" t="s">
        <v>807</v>
      </c>
      <c r="U104" s="15" t="n">
        <v>346784932</v>
      </c>
    </row>
    <row r="105" customFormat="false" ht="39.75" hidden="false" customHeight="true" outlineLevel="0" collapsed="false">
      <c r="A105" s="25" t="s">
        <v>9</v>
      </c>
      <c r="B105" s="15" t="s">
        <v>889</v>
      </c>
      <c r="C105" s="16" t="s">
        <v>890</v>
      </c>
      <c r="D105" s="16" t="s">
        <v>891</v>
      </c>
      <c r="E105" s="17" t="s">
        <v>892</v>
      </c>
      <c r="F105" s="15" t="s">
        <v>893</v>
      </c>
      <c r="G105" s="15" t="s">
        <v>894</v>
      </c>
      <c r="H105" s="16" t="s">
        <v>895</v>
      </c>
      <c r="I105" s="16" t="s">
        <v>896</v>
      </c>
      <c r="J105" s="16" t="s">
        <v>897</v>
      </c>
      <c r="K105" s="18" t="n">
        <v>549</v>
      </c>
      <c r="L105" s="19" t="n">
        <v>32775000</v>
      </c>
      <c r="M105" s="20" t="n">
        <v>1995</v>
      </c>
      <c r="N105" s="16"/>
      <c r="O105" s="21" t="s">
        <v>898</v>
      </c>
      <c r="P105" s="16" t="s">
        <v>899</v>
      </c>
      <c r="Q105" s="22" t="s">
        <v>63</v>
      </c>
      <c r="R105" s="23"/>
      <c r="S105" s="24"/>
      <c r="T105" s="15" t="s">
        <v>900</v>
      </c>
      <c r="U105" s="15" t="n">
        <v>26038289</v>
      </c>
    </row>
  </sheetData>
  <autoFilter ref="A1:U105"/>
  <dataValidations count="1">
    <dataValidation allowBlank="true" errorStyle="stop" operator="between" showDropDown="false" showErrorMessage="false" showInputMessage="false" sqref="Q2:Q105" type="list">
      <formula1>"Not visited,Attempted no DM,Met DM,Call booked,Meeting held,Proposal out,Client,Not a fit,Do not revisit"</formula1>
      <formula2>0</formula2>
    </dataValidation>
  </dataValidations>
  <hyperlinks>
    <hyperlink ref="E2" r:id="rId1" display="1050 Hingham St, Fl 1"/>
    <hyperlink ref="O2" r:id="rId2" display="cutterassociates.com"/>
    <hyperlink ref="E3" r:id="rId3" display="40 Reservoir Park Dr, Ste A"/>
    <hyperlink ref="O3" r:id="rId4" display="fintrx.com"/>
    <hyperlink ref="E4" r:id="rId5" display="70 Ledgewood Pl"/>
    <hyperlink ref="O4" r:id="rId6" display="thecateredaffair.com"/>
    <hyperlink ref="E5" r:id="rId7" display="200 Ledgewood Pl, Ste 300"/>
    <hyperlink ref="O5" r:id="rId8" display="cpteng.com"/>
    <hyperlink ref="E6" r:id="rId9" display="300 Ledgewood Pl, Ste 300"/>
    <hyperlink ref="O6" r:id="rId10" display="burkeandassoc.com"/>
    <hyperlink ref="E7" r:id="rId11" display="1 Technology Pl"/>
    <hyperlink ref="O7" r:id="rId12" display="emdserono.com"/>
    <hyperlink ref="E8" r:id="rId13" display="200 Ledgewood Pl, Ste 200"/>
    <hyperlink ref="O8" r:id="rId14" display="foodtech.com"/>
    <hyperlink ref="E9" r:id="rId15" display="241 Union St"/>
    <hyperlink ref="O9" r:id="rId16" display="rfcu.com"/>
    <hyperlink ref="E10" r:id="rId17" display="276 Weymouth St"/>
    <hyperlink ref="O10" r:id="rId18" display="uppababy.com"/>
    <hyperlink ref="E11" r:id="rId19" display="180 Pleasant St"/>
    <hyperlink ref="O11" r:id="rId20" display="polymercorporation.com"/>
    <hyperlink ref="E12" r:id="rId21" display="100 Weymouth St, Ste C2"/>
    <hyperlink ref="O12" r:id="rId22" display="briggsengineering.com"/>
    <hyperlink ref="E13" r:id="rId23" display="105 Industrial Way"/>
    <hyperlink ref="O13" r:id="rId24" display="natcoat.com"/>
    <hyperlink ref="E14" r:id="rId25" display="9 Rockview Way, Ste B"/>
    <hyperlink ref="O14" r:id="rId26" display="k5corporation.com"/>
    <hyperlink ref="E15" r:id="rId27" display="405 VFW Dr, Ste 1"/>
    <hyperlink ref="O15" r:id="rId28" display="gtwilkinson.com"/>
    <hyperlink ref="E16" r:id="rId29" display="17 Rockview Way"/>
    <hyperlink ref="O16" r:id="rId30" display="commonwealthbuildingsystems.com"/>
    <hyperlink ref="E17" r:id="rId31" display="100 Weymouth St, Ste A1"/>
    <hyperlink ref="O17" r:id="rId32" display="bendongear.com"/>
    <hyperlink ref="E18" r:id="rId33" display="14 Howard St"/>
    <hyperlink ref="O18" r:id="rId34" display="foodallergy.com"/>
    <hyperlink ref="E19" r:id="rId35" display="288 Union St"/>
    <hyperlink ref="O19" r:id="rId36" display="rocklandtrust.com"/>
    <hyperlink ref="E20" r:id="rId37" display="333 Weymouth St"/>
    <hyperlink ref="O20" r:id="rId38" display="united-hvac.com"/>
    <hyperlink ref="E21" r:id="rId39" display="296 Weymouth St, Ste C"/>
    <hyperlink ref="O21" r:id="rId40" display="greenenvironmental.com"/>
    <hyperlink ref="E22" r:id="rId41" display="222 Weymouth St, Ste 2"/>
    <hyperlink ref="O22" r:id="rId42" display="onescience.com"/>
    <hyperlink ref="E23" r:id="rId43" display="11 Commerce Rd, Ste C"/>
    <hyperlink ref="O23" r:id="rId44" display="mija.com"/>
    <hyperlink ref="E24" r:id="rId45" display="7 Market St"/>
    <hyperlink ref="O24" r:id="rId46" display="ruggedmade.com"/>
    <hyperlink ref="E25" r:id="rId47" display="22 Longwater Dr"/>
    <hyperlink ref="O25" r:id="rId48" display="zildjian.com"/>
    <hyperlink ref="E26" r:id="rId49" display="600 Longwater Dr, Ste 107"/>
    <hyperlink ref="O26" r:id="rId50" display="radiusgrp.com"/>
    <hyperlink ref="E27" r:id="rId51" display="120 Longwater Dr, Ste 104"/>
    <hyperlink ref="O27" r:id="rId52" display="nvna.org"/>
    <hyperlink ref="E28" r:id="rId53" display="77 Accord Park Dr, Ste D1"/>
    <hyperlink ref="O28" r:id="rId54" display="dih.com"/>
    <hyperlink ref="E29" r:id="rId55" display="600 Longwater Dr, Ste 301"/>
    <hyperlink ref="O29" r:id="rId56" display="miniter.com"/>
    <hyperlink ref="E30" r:id="rId57" display="85 Accord Park Dr"/>
    <hyperlink ref="O30" r:id="rId58" display="snowandjones.com"/>
    <hyperlink ref="E31" r:id="rId59" display="85 Longwater Dr"/>
    <hyperlink ref="O31" r:id="rId60" display="airxchange.com"/>
    <hyperlink ref="E32" r:id="rId61" display="76 Accord Park Dr"/>
    <hyperlink ref="O32" r:id="rId62" display="alternativesaba.com"/>
    <hyperlink ref="E33" r:id="rId63" display="275 Longwater Dr"/>
    <hyperlink ref="O33" r:id="rId64" display="northriverhc.com"/>
    <hyperlink ref="E34" r:id="rId65" display="55 Accord Park Dr"/>
    <hyperlink ref="O34" r:id="rId66" display="radiosolutionsinc.com"/>
    <hyperlink ref="E35" r:id="rId67" display="17 Accord Park Dr, Ste 202"/>
    <hyperlink ref="O35" r:id="rId68" display="tryanglefoods.com"/>
    <hyperlink ref="E36" r:id="rId69" display="300 Longwater Dr"/>
    <hyperlink ref="O36" r:id="rId70" display="bluebearplumbing.com"/>
    <hyperlink ref="E37" r:id="rId71" display="141 Longwater Dr, Ste 203"/>
    <hyperlink ref="O37" r:id="rId72" display="driscollagency.com"/>
    <hyperlink ref="E38" r:id="rId73" display="42 Longwater Dr"/>
    <hyperlink ref="O38" r:id="rId74" display="safety-kleen.com"/>
    <hyperlink ref="E39" r:id="rId75" display="41 Accord Park Dr"/>
    <hyperlink ref="O39" r:id="rId76" display="sullivantire.com"/>
    <hyperlink ref="E40" r:id="rId77" display="90 Longwater Dr"/>
    <hyperlink ref="O40" r:id="rId78" display="signetgroup.net"/>
    <hyperlink ref="E41" r:id="rId79" display="75 Washington St, Ste 1"/>
    <hyperlink ref="O41" r:id="rId80" display="southshoreskincenter.com"/>
    <hyperlink ref="E42" r:id="rId81" display="137 Washington St"/>
    <hyperlink ref="O42" r:id="rId82" display="jackconway.com"/>
    <hyperlink ref="E43" r:id="rId83" display="501 Cordwainer Dr"/>
    <hyperlink ref="O43" r:id="rId84" display="southwoodatnorwell.com"/>
    <hyperlink ref="E44" r:id="rId85" display="80 Washington St, Ste Q57"/>
    <hyperlink ref="O44" r:id="rId86" display="provenaba.com"/>
    <hyperlink ref="E45" r:id="rId87" display="45 Pond St"/>
    <hyperlink ref="O45" r:id="rId88" display="ssautismcenter.com"/>
    <hyperlink ref="E46" r:id="rId89" display="80 Washington St, Bldg S"/>
    <hyperlink ref="O46" r:id="rId90" display="lmhspc.com"/>
    <hyperlink ref="E47" r:id="rId91" display="80 Washington St, Ste N51"/>
    <hyperlink ref="O47" r:id="rId92" display="oralsurgerysouth.com"/>
    <hyperlink ref="E48" r:id="rId93" display="384 Washington St, Ste 202"/>
    <hyperlink ref="O48" r:id="rId94" display="arbourhealth.com"/>
    <hyperlink ref="E49" r:id="rId95" display="458 Main St"/>
    <hyperlink ref="O49" r:id="rId96" display="friendshiphome.net"/>
    <hyperlink ref="E50" r:id="rId97" display="156 Norwell Ave"/>
    <hyperlink ref="O50" r:id="rId98" display="dolomite-bio.com"/>
    <hyperlink ref="E51" r:id="rId99" display="167 Washington St"/>
    <hyperlink ref="O51" r:id="rId100" display="ajaxjets.com"/>
    <hyperlink ref="E52" r:id="rId101" display="405 Washington St"/>
    <hyperlink ref="O52" r:id="rId102" display="cushingcenters.org"/>
    <hyperlink ref="E53" r:id="rId103" display="427 Columbia Rd, Ste 114"/>
    <hyperlink ref="O53" r:id="rId104" display="myhomesteadmortgage.com"/>
    <hyperlink ref="E54" r:id="rId105" display="2001 Washington St"/>
    <hyperlink ref="O54" r:id="rId106" display="firstresourcecompanies.com"/>
    <hyperlink ref="E55" r:id="rId107" display="1076 Washington St"/>
    <hyperlink ref="O55" r:id="rId108" display="wbaengineers.com"/>
    <hyperlink ref="E56" r:id="rId109" display="427 Columbia Rd"/>
    <hyperlink ref="O56" r:id="rId110" display="merrillinc.com"/>
    <hyperlink ref="E57" r:id="rId111" display="860 Washington St"/>
    <hyperlink ref="O57" r:id="rId112" display="mcgeetoyota.com"/>
    <hyperlink ref="E58" r:id="rId113" display="596 Washington St"/>
    <hyperlink ref="O58" r:id="rId114" display="planetsubaru.com"/>
    <hyperlink ref="E59" r:id="rId115" display="2000 Washington St"/>
    <hyperlink ref="O59" r:id="rId116" display="jannellford.com"/>
    <hyperlink ref="E60" r:id="rId117" display="351 Winter St"/>
    <hyperlink ref="O60" r:id="rId118" display="palanders.com"/>
    <hyperlink ref="E61" r:id="rId119" display="385 King St"/>
    <hyperlink ref="O61" r:id="rId120" display="buckleyonline.com"/>
    <hyperlink ref="E62" r:id="rId121" display="263 Winter St"/>
    <hyperlink ref="O62" r:id="rId122" display="srcmedical.com"/>
    <hyperlink ref="E63" r:id="rId123" display="353 Circuit St"/>
    <hyperlink ref="O63" r:id="rId124" display="hapcoincorporated.com"/>
    <hyperlink ref="E64" r:id="rId125" display="112 School St"/>
    <hyperlink ref="O64" r:id="rId126" display="gemgravure.com"/>
    <hyperlink ref="E65" r:id="rId127" display="85 Winter St"/>
    <hyperlink ref="O65" r:id="rId128" display="critechinc.com"/>
    <hyperlink ref="E66" r:id="rId129" display="35 Hanover St"/>
    <hyperlink ref="O66" r:id="rId130" display="amurphy.com"/>
    <hyperlink ref="E67" r:id="rId131" display="348 Circuit St, Ste 2"/>
    <hyperlink ref="O67" r:id="rId132" display="eyesaverinternational.com"/>
    <hyperlink ref="E68" r:id="rId133" display="348 Circuit St, Ste 1"/>
    <hyperlink ref="O68" r:id="rId134" display="sturtevantinc.com"/>
    <hyperlink ref="E69" r:id="rId135" display="145 Webster St, Ste J"/>
    <hyperlink ref="O69" r:id="rId136" display="lubritetechnologies.com"/>
    <hyperlink ref="E70" r:id="rId137" display="75 Mill St"/>
    <hyperlink ref="O70" r:id="rId138" display="ssymca.org"/>
    <hyperlink ref="E71" r:id="rId139" display="285 Circuit St"/>
    <hyperlink ref="O71" r:id="rId140" display="hinghammoving.com"/>
    <hyperlink ref="E72" r:id="rId141" display="24 Rockland St, Ste 5"/>
    <hyperlink ref="O72" r:id="rId142" display="burgopak.com"/>
    <hyperlink ref="E73" r:id="rId143" display="42 Winter St"/>
    <hyperlink ref="O73" r:id="rId144" display="royalhealthgroup.com"/>
    <hyperlink ref="E74" r:id="rId145" display="100 Schoosett St, Bldg 3"/>
    <hyperlink ref="O74" r:id="rId146" display="fmcicesports.com"/>
    <hyperlink ref="E75" r:id="rId147" display="91 Schoosett St"/>
    <hyperlink ref="O75" r:id="rId148" display="thayerscale.com"/>
    <hyperlink ref="E76" r:id="rId149" display="22 Riverside Dr"/>
    <hyperlink ref="O76" r:id="rId150" display="nelcoproducts.com"/>
    <hyperlink ref="E77" r:id="rId151" display="664 School St"/>
    <hyperlink ref="O77" r:id="rId152" display="newenglandvillage.org"/>
    <hyperlink ref="E78" r:id="rId153" display="223 Center St"/>
    <hyperlink ref="O78" r:id="rId154" display="preferredmechanicalservices.com"/>
    <hyperlink ref="E79" r:id="rId155" display="345 Washington St"/>
    <hyperlink ref="O79" r:id="rId156" display="yourelectricalsolutions.com"/>
    <hyperlink ref="E80" r:id="rId157" display="42 Winter St, Ste 36"/>
    <hyperlink ref="O80" r:id="rId158" display="rsidelivers.com"/>
    <hyperlink ref="E81" r:id="rId159" display="38 Washington St"/>
    <hyperlink ref="O81" r:id="rId160" display="acellaconstruction.com"/>
    <hyperlink ref="E82" r:id="rId161" display="243 Oak St"/>
    <hyperlink ref="O82" r:id="rId162" display="ritchienavigation.com"/>
    <hyperlink ref="E83" r:id="rId163" display="60 Washington St"/>
    <hyperlink ref="O83" r:id="rId164" display="protectowire.com"/>
    <hyperlink ref="E84" r:id="rId165" display="30 Corporate Park Dr, Ste 310"/>
    <hyperlink ref="O84" r:id="rId166" display="fci-ophthalmics.com"/>
    <hyperlink ref="E85" r:id="rId167" display="33 Riverside Dr"/>
    <hyperlink ref="O85" r:id="rId168" display="entegee.com"/>
    <hyperlink ref="E86" r:id="rId169" display="55 Corporate Park Dr, Ste 1"/>
    <hyperlink ref="O86" r:id="rId170" display="hornermillwork.com"/>
    <hyperlink ref="E87" r:id="rId171" display="30 Riverside Dr"/>
    <hyperlink ref="O87" r:id="rId172" display="markingsinc.com"/>
    <hyperlink ref="E88" r:id="rId173" display="35 Corporate Park Dr, Ste 2"/>
    <hyperlink ref="O88" r:id="rId174" display="peakmechanicalservices.com"/>
    <hyperlink ref="E89" r:id="rId175" display="33 Riverside Dr, Ste 200"/>
    <hyperlink ref="O89" r:id="rId176" display="charmmedical.com"/>
    <hyperlink ref="E90" r:id="rId177" display="12 Riverside Dr"/>
    <hyperlink ref="O90" r:id="rId178" display="cadeteenterprises.com"/>
    <hyperlink ref="E91" r:id="rId179" display="370 Corporate Park Dr"/>
    <hyperlink ref="O91" r:id="rId180" display="jlc-tech.com"/>
    <hyperlink ref="E92" r:id="rId181" display="7 Industrial Way"/>
    <hyperlink ref="O92" r:id="rId182" display="tkasphalt.com"/>
    <hyperlink ref="E93" r:id="rId183" display="225 Groveland St"/>
    <hyperlink ref="O93" r:id="rId184" display="capecodlumber.com"/>
    <hyperlink ref="E94" r:id="rId185" display="116 Helen Dr"/>
    <hyperlink ref="O94" r:id="rId186" display="southeasternaba.com"/>
    <hyperlink ref="E95" r:id="rId187" display="121 Franklin St"/>
    <hyperlink ref="O95" r:id="rId188" display="sullivansusa.com"/>
    <hyperlink ref="E96" r:id="rId189" display="551 Bedford St"/>
    <hyperlink ref="O96" r:id="rId190" display="seoanelandscape.com"/>
    <hyperlink ref="E97" r:id="rId191" display="356 South Ave"/>
    <hyperlink ref="O97" r:id="rId192" display="whitman-company.com"/>
    <hyperlink ref="E98" r:id="rId193" display="PO Box 119 (call ahead)"/>
    <hyperlink ref="O98" r:id="rId194" display="defenseinvestigatorsgroup.com"/>
    <hyperlink ref="E99" r:id="rId195" display="380 North Ave"/>
    <hyperlink ref="O99" r:id="rId196" display="walshmechanical.com"/>
    <hyperlink ref="E100" r:id="rId197" display="1069 W Washington St"/>
    <hyperlink ref="O100" r:id="rId198" display="websterprinting.com"/>
    <hyperlink ref="E101" r:id="rId199" display="72 Raynor Ave"/>
    <hyperlink ref="O101" r:id="rId200" display="whitmantoolanddie.com"/>
    <hyperlink ref="E102" r:id="rId201" display="243 Franklin St"/>
    <hyperlink ref="O102" r:id="rId202" display="presidenttitanium.com"/>
    <hyperlink ref="E103" r:id="rId203" display="162 Industrial Blvd, Ste 4"/>
    <hyperlink ref="O103" r:id="rId204" display="clean-systems.com"/>
    <hyperlink ref="E104" r:id="rId205" display="536 Washington St"/>
    <hyperlink ref="O104" r:id="rId206" display="angelshealthcare.com"/>
    <hyperlink ref="E105" r:id="rId207" display="703 Granite St, Ste 300"/>
    <hyperlink ref="O105" r:id="rId208" display="baystatept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0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27" t="s">
        <v>901</v>
      </c>
    </row>
    <row r="2" customFormat="false" ht="15" hidden="false" customHeight="false" outlineLevel="0" collapsed="false">
      <c r="A2" s="2" t="s">
        <v>902</v>
      </c>
    </row>
    <row r="4" customFormat="false" ht="15" hidden="false" customHeight="false" outlineLevel="0" collapsed="false">
      <c r="A4" s="28" t="s">
        <v>903</v>
      </c>
      <c r="B4" s="28" t="s">
        <v>35</v>
      </c>
      <c r="C4" s="28" t="s">
        <v>904</v>
      </c>
      <c r="D4" s="28" t="s">
        <v>15</v>
      </c>
      <c r="E4" s="28" t="s">
        <v>905</v>
      </c>
    </row>
    <row r="5" customFormat="false" ht="30" hidden="false" customHeight="true" outlineLevel="0" collapsed="false">
      <c r="A5" s="29" t="s">
        <v>906</v>
      </c>
      <c r="B5" s="16" t="s">
        <v>907</v>
      </c>
      <c r="C5" s="15" t="n">
        <f aca="false">COUNTIF('Target List'!$B$2:$B$105,"R1 *")</f>
        <v>7</v>
      </c>
      <c r="D5" s="15" t="n">
        <f aca="false">COUNTIFS('Target List'!$B$2:$B$105,"R1 *",'Target List'!$A$2:$A$105,"A")</f>
        <v>2</v>
      </c>
      <c r="E5" s="16" t="s">
        <v>908</v>
      </c>
    </row>
    <row r="6" customFormat="false" ht="30" hidden="false" customHeight="true" outlineLevel="0" collapsed="false">
      <c r="A6" s="29" t="s">
        <v>909</v>
      </c>
      <c r="B6" s="16" t="s">
        <v>910</v>
      </c>
      <c r="C6" s="15" t="n">
        <f aca="false">COUNTIF('Target List'!$B$2:$B$105,"R2 *")</f>
        <v>16</v>
      </c>
      <c r="D6" s="15" t="n">
        <f aca="false">COUNTIFS('Target List'!$B$2:$B$105,"R2 *",'Target List'!$A$2:$A$105,"A")</f>
        <v>5</v>
      </c>
      <c r="E6" s="16" t="s">
        <v>911</v>
      </c>
    </row>
    <row r="7" customFormat="false" ht="30" hidden="false" customHeight="true" outlineLevel="0" collapsed="false">
      <c r="A7" s="29" t="s">
        <v>912</v>
      </c>
      <c r="B7" s="16" t="s">
        <v>913</v>
      </c>
      <c r="C7" s="15" t="n">
        <f aca="false">COUNTIF('Target List'!$B$2:$B$105,"N1 *")</f>
        <v>16</v>
      </c>
      <c r="D7" s="15" t="n">
        <f aca="false">COUNTIFS('Target List'!$B$2:$B$105,"N1 *",'Target List'!$A$2:$A$105,"A")</f>
        <v>7</v>
      </c>
      <c r="E7" s="16" t="s">
        <v>914</v>
      </c>
    </row>
    <row r="8" customFormat="false" ht="30" hidden="false" customHeight="true" outlineLevel="0" collapsed="false">
      <c r="A8" s="29" t="s">
        <v>915</v>
      </c>
      <c r="B8" s="16" t="s">
        <v>916</v>
      </c>
      <c r="C8" s="15" t="n">
        <f aca="false">COUNTIF('Target List'!$B$2:$B$105,"N2 *")</f>
        <v>11</v>
      </c>
      <c r="D8" s="15" t="n">
        <f aca="false">COUNTIFS('Target List'!$B$2:$B$105,"N2 *",'Target List'!$A$2:$A$105,"A")</f>
        <v>1</v>
      </c>
      <c r="E8" s="16" t="s">
        <v>917</v>
      </c>
    </row>
    <row r="9" customFormat="false" ht="30" hidden="false" customHeight="true" outlineLevel="0" collapsed="false">
      <c r="A9" s="29" t="s">
        <v>918</v>
      </c>
      <c r="B9" s="16" t="s">
        <v>919</v>
      </c>
      <c r="C9" s="15" t="n">
        <f aca="false">COUNTIF('Target List'!$B$2:$B$105,"H1 *")</f>
        <v>8</v>
      </c>
      <c r="D9" s="15" t="n">
        <f aca="false">COUNTIFS('Target List'!$B$2:$B$105,"H1 *",'Target List'!$A$2:$A$105,"A")</f>
        <v>2</v>
      </c>
      <c r="E9" s="16" t="s">
        <v>920</v>
      </c>
    </row>
    <row r="10" customFormat="false" ht="30" hidden="false" customHeight="true" outlineLevel="0" collapsed="false">
      <c r="A10" s="29" t="s">
        <v>921</v>
      </c>
      <c r="B10" s="16" t="s">
        <v>922</v>
      </c>
      <c r="C10" s="15" t="n">
        <f aca="false">COUNTIF('Target List'!$B$2:$B$105,"H2 *")</f>
        <v>13</v>
      </c>
      <c r="D10" s="15" t="n">
        <f aca="false">COUNTIFS('Target List'!$B$2:$B$105,"H2 *",'Target List'!$A$2:$A$105,"A")</f>
        <v>6</v>
      </c>
      <c r="E10" s="16" t="s">
        <v>923</v>
      </c>
    </row>
    <row r="11" customFormat="false" ht="30" hidden="false" customHeight="true" outlineLevel="0" collapsed="false">
      <c r="A11" s="29" t="s">
        <v>924</v>
      </c>
      <c r="B11" s="16" t="s">
        <v>925</v>
      </c>
      <c r="C11" s="15" t="n">
        <f aca="false">COUNTIF('Target List'!$B$2:$B$105,"P1 *")</f>
        <v>19</v>
      </c>
      <c r="D11" s="15" t="n">
        <f aca="false">COUNTIFS('Target List'!$B$2:$B$105,"P1 *",'Target List'!$A$2:$A$105,"A")</f>
        <v>4</v>
      </c>
      <c r="E11" s="16" t="s">
        <v>926</v>
      </c>
    </row>
    <row r="12" customFormat="false" ht="30" hidden="false" customHeight="true" outlineLevel="0" collapsed="false">
      <c r="A12" s="29" t="s">
        <v>927</v>
      </c>
      <c r="B12" s="16" t="s">
        <v>928</v>
      </c>
      <c r="C12" s="15" t="n">
        <f aca="false">COUNTIF('Target List'!$B$2:$B$105,"W1 *")</f>
        <v>13</v>
      </c>
      <c r="D12" s="15" t="n">
        <f aca="false">COUNTIFS('Target List'!$B$2:$B$105,"W1 *",'Target List'!$A$2:$A$105,"A")</f>
        <v>2</v>
      </c>
      <c r="E12" s="16" t="s">
        <v>929</v>
      </c>
    </row>
    <row r="13" customFormat="false" ht="30" hidden="false" customHeight="true" outlineLevel="0" collapsed="false">
      <c r="A13" s="29" t="s">
        <v>930</v>
      </c>
      <c r="B13" s="16" t="s">
        <v>931</v>
      </c>
      <c r="C13" s="15" t="n">
        <f aca="false">COUNTIF('Target List'!$B$2:$B$105,"X1 *")</f>
        <v>1</v>
      </c>
      <c r="D13" s="15" t="n">
        <f aca="false">COUNTIFS('Target List'!$B$2:$B$105,"X1 *",'Target List'!$A$2:$A$105,"A")</f>
        <v>0</v>
      </c>
      <c r="E13" s="16" t="s">
        <v>932</v>
      </c>
    </row>
    <row r="15" customFormat="false" ht="15" hidden="false" customHeight="false" outlineLevel="0" collapsed="false">
      <c r="B15" s="30" t="s">
        <v>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B1:B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934</v>
      </c>
    </row>
    <row r="2" customFormat="false" ht="13.5" hidden="false" customHeight="true" outlineLevel="0" collapsed="false">
      <c r="B2" s="31" t="s">
        <v>935</v>
      </c>
    </row>
    <row r="3" customFormat="false" ht="27.75" hidden="false" customHeight="true" outlineLevel="0" collapsed="false">
      <c r="B3" s="32" t="s">
        <v>936</v>
      </c>
    </row>
    <row r="5" customFormat="false" ht="15" hidden="false" customHeight="false" outlineLevel="0" collapsed="false">
      <c r="B5" s="33" t="s">
        <v>937</v>
      </c>
    </row>
    <row r="6" customFormat="false" ht="13.5" hidden="false" customHeight="true" outlineLevel="0" collapsed="false">
      <c r="B6" s="32" t="s">
        <v>938</v>
      </c>
    </row>
    <row r="7" customFormat="false" ht="13.5" hidden="false" customHeight="true" outlineLevel="0" collapsed="false">
      <c r="B7" s="32" t="s">
        <v>939</v>
      </c>
    </row>
    <row r="8" customFormat="false" ht="27.75" hidden="false" customHeight="true" outlineLevel="0" collapsed="false">
      <c r="B8" s="32" t="s">
        <v>940</v>
      </c>
    </row>
    <row r="9" customFormat="false" ht="13.5" hidden="false" customHeight="true" outlineLevel="0" collapsed="false">
      <c r="B9" s="32" t="s">
        <v>941</v>
      </c>
    </row>
    <row r="10" customFormat="false" ht="27.75" hidden="false" customHeight="true" outlineLevel="0" collapsed="false">
      <c r="B10" s="32" t="s">
        <v>942</v>
      </c>
    </row>
    <row r="12" customFormat="false" ht="15" hidden="false" customHeight="false" outlineLevel="0" collapsed="false">
      <c r="B12" s="33" t="s">
        <v>943</v>
      </c>
    </row>
    <row r="13" customFormat="false" ht="13.5" hidden="false" customHeight="true" outlineLevel="0" collapsed="false">
      <c r="B13" s="32" t="s">
        <v>944</v>
      </c>
    </row>
    <row r="14" customFormat="false" ht="13.5" hidden="false" customHeight="true" outlineLevel="0" collapsed="false">
      <c r="B14" s="32" t="s">
        <v>945</v>
      </c>
    </row>
    <row r="15" customFormat="false" ht="13.5" hidden="false" customHeight="true" outlineLevel="0" collapsed="false">
      <c r="B15" s="32" t="s">
        <v>946</v>
      </c>
    </row>
    <row r="16" customFormat="false" ht="13.5" hidden="false" customHeight="true" outlineLevel="0" collapsed="false">
      <c r="B16" s="32" t="s">
        <v>947</v>
      </c>
    </row>
    <row r="17" customFormat="false" ht="13.5" hidden="false" customHeight="true" outlineLevel="0" collapsed="false">
      <c r="B17" s="32" t="s">
        <v>948</v>
      </c>
    </row>
    <row r="19" customFormat="false" ht="15" hidden="false" customHeight="false" outlineLevel="0" collapsed="false">
      <c r="B19" s="33" t="s">
        <v>949</v>
      </c>
    </row>
    <row r="20" customFormat="false" ht="45" hidden="false" customHeight="true" outlineLevel="0" collapsed="false">
      <c r="B20" s="34" t="s">
        <v>950</v>
      </c>
    </row>
    <row r="21" customFormat="false" ht="13.5" hidden="false" customHeight="true" outlineLevel="0" collapsed="false">
      <c r="B21" s="32" t="s">
        <v>951</v>
      </c>
    </row>
    <row r="22" customFormat="false" ht="30" hidden="false" customHeight="true" outlineLevel="0" collapsed="false">
      <c r="B22" s="34" t="s">
        <v>952</v>
      </c>
    </row>
    <row r="23" customFormat="false" ht="13.5" hidden="false" customHeight="true" outlineLevel="0" collapsed="false">
      <c r="B23" s="31" t="s">
        <v>953</v>
      </c>
    </row>
    <row r="25" customFormat="false" ht="15" hidden="false" customHeight="false" outlineLevel="0" collapsed="false">
      <c r="B25" s="33" t="s">
        <v>954</v>
      </c>
    </row>
    <row r="26" customFormat="false" ht="45" hidden="false" customHeight="true" outlineLevel="0" collapsed="false">
      <c r="B26" s="34" t="s">
        <v>955</v>
      </c>
    </row>
    <row r="27" customFormat="false" ht="13.5" hidden="false" customHeight="true" outlineLevel="0" collapsed="false">
      <c r="B27" s="32" t="s">
        <v>956</v>
      </c>
    </row>
    <row r="28" customFormat="false" ht="30" hidden="false" customHeight="true" outlineLevel="0" collapsed="false">
      <c r="B28" s="34" t="s">
        <v>957</v>
      </c>
    </row>
    <row r="29" customFormat="false" ht="13.5" hidden="false" customHeight="true" outlineLevel="0" collapsed="false">
      <c r="B29" s="32" t="s">
        <v>958</v>
      </c>
    </row>
    <row r="31" customFormat="false" ht="15" hidden="false" customHeight="false" outlineLevel="0" collapsed="false">
      <c r="B31" s="33" t="s">
        <v>959</v>
      </c>
    </row>
    <row r="32" customFormat="false" ht="13.5" hidden="false" customHeight="true" outlineLevel="0" collapsed="false">
      <c r="B32" s="32" t="s">
        <v>960</v>
      </c>
    </row>
    <row r="33" customFormat="false" ht="27.75" hidden="false" customHeight="true" outlineLevel="0" collapsed="false">
      <c r="B33" s="32" t="s">
        <v>961</v>
      </c>
    </row>
    <row r="34" customFormat="false" ht="27.75" hidden="false" customHeight="true" outlineLevel="0" collapsed="false">
      <c r="B34" s="32" t="s">
        <v>962</v>
      </c>
    </row>
    <row r="35" customFormat="false" ht="27.75" hidden="false" customHeight="true" outlineLevel="0" collapsed="false">
      <c r="B35" s="32" t="s">
        <v>963</v>
      </c>
    </row>
    <row r="36" customFormat="false" ht="13.5" hidden="false" customHeight="true" outlineLevel="0" collapsed="false">
      <c r="B36" s="32" t="s">
        <v>964</v>
      </c>
    </row>
    <row r="37" customFormat="false" ht="13.5" hidden="false" customHeight="true" outlineLevel="0" collapsed="false">
      <c r="B37" s="32" t="s">
        <v>965</v>
      </c>
    </row>
    <row r="39" customFormat="false" ht="15" hidden="false" customHeight="false" outlineLevel="0" collapsed="false">
      <c r="B39" s="33" t="s">
        <v>966</v>
      </c>
    </row>
    <row r="40" customFormat="false" ht="13.5" hidden="false" customHeight="true" outlineLevel="0" collapsed="false">
      <c r="B40" s="32" t="s">
        <v>967</v>
      </c>
    </row>
    <row r="41" customFormat="false" ht="13.5" hidden="false" customHeight="true" outlineLevel="0" collapsed="false">
      <c r="B41" s="32" t="s">
        <v>968</v>
      </c>
    </row>
    <row r="42" customFormat="false" ht="13.5" hidden="false" customHeight="true" outlineLevel="0" collapsed="false">
      <c r="B42" s="32" t="s">
        <v>969</v>
      </c>
    </row>
    <row r="43" customFormat="false" ht="13.5" hidden="false" customHeight="true" outlineLevel="0" collapsed="false">
      <c r="B43" s="32" t="s">
        <v>970</v>
      </c>
    </row>
    <row r="44" customFormat="false" ht="13.5" hidden="false" customHeight="true" outlineLevel="0" collapsed="false">
      <c r="B44" s="32" t="s">
        <v>971</v>
      </c>
    </row>
    <row r="46" customFormat="false" ht="15" hidden="false" customHeight="false" outlineLevel="0" collapsed="false">
      <c r="B46" s="33" t="s">
        <v>972</v>
      </c>
    </row>
    <row r="47" customFormat="false" ht="42" hidden="false" customHeight="true" outlineLevel="0" collapsed="false">
      <c r="B47" s="32" t="s">
        <v>973</v>
      </c>
    </row>
    <row r="48" customFormat="false" ht="27.75" hidden="false" customHeight="true" outlineLevel="0" collapsed="false">
      <c r="B48" s="32" t="s">
        <v>974</v>
      </c>
    </row>
    <row r="49" customFormat="false" ht="13.5" hidden="false" customHeight="true" outlineLevel="0" collapsed="false">
      <c r="B49" s="31" t="s">
        <v>975</v>
      </c>
    </row>
    <row r="51" customFormat="false" ht="15" hidden="false" customHeight="false" outlineLevel="0" collapsed="false">
      <c r="B51" s="33" t="s">
        <v>976</v>
      </c>
    </row>
    <row r="52" customFormat="false" ht="27.75" hidden="false" customHeight="true" outlineLevel="0" collapsed="false">
      <c r="B52" s="32" t="s">
        <v>977</v>
      </c>
    </row>
    <row r="53" customFormat="false" ht="13.5" hidden="false" customHeight="true" outlineLevel="0" collapsed="false">
      <c r="B53" s="32" t="s">
        <v>978</v>
      </c>
    </row>
    <row r="54" customFormat="false" ht="15.75" hidden="false" customHeight="true" outlineLevel="0" collapsed="false">
      <c r="B54" s="34" t="s">
        <v>979</v>
      </c>
    </row>
    <row r="55" customFormat="false" ht="45" hidden="false" customHeight="true" outlineLevel="0" collapsed="false">
      <c r="B55" s="34" t="s">
        <v>980</v>
      </c>
    </row>
    <row r="56" customFormat="false" ht="13.5" hidden="false" customHeight="true" outlineLevel="0" collapsed="false">
      <c r="B56" s="32" t="s">
        <v>981</v>
      </c>
    </row>
    <row r="57" customFormat="false" ht="13.5" hidden="false" customHeight="true" outlineLevel="0" collapsed="false">
      <c r="B57" s="32" t="s">
        <v>982</v>
      </c>
    </row>
    <row r="59" customFormat="false" ht="15" hidden="false" customHeight="false" outlineLevel="0" collapsed="false">
      <c r="B59" s="33" t="s">
        <v>983</v>
      </c>
    </row>
    <row r="60" customFormat="false" ht="13.5" hidden="false" customHeight="true" outlineLevel="0" collapsed="false">
      <c r="B60" s="32" t="s">
        <v>984</v>
      </c>
    </row>
    <row r="61" customFormat="false" ht="13.5" hidden="false" customHeight="true" outlineLevel="0" collapsed="false">
      <c r="B61" s="32" t="s">
        <v>985</v>
      </c>
    </row>
    <row r="62" customFormat="false" ht="13.5" hidden="false" customHeight="true" outlineLevel="0" collapsed="false">
      <c r="B62" s="32" t="s">
        <v>986</v>
      </c>
    </row>
    <row r="63" customFormat="false" ht="27.75" hidden="false" customHeight="true" outlineLevel="0" collapsed="false">
      <c r="B63" s="32" t="s">
        <v>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2026-08-24T13:30:31Z</dcterms:created>
  <dc:creator>openpyxl</dc:creator>
  <dc:description/>
  <dc:language>en-US</dc:language>
  <cp:lastModifiedBy/>
  <dcterms:modified xsi:type="dcterms:W3CDTF">2026-08-24T13:30:31Z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