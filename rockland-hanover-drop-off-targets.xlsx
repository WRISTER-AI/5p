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Target List" sheetId="2" state="visible" r:id="rId4"/>
    <sheet name="Existing Accounts" sheetId="3" state="visible" r:id="rId5"/>
    <sheet name="Prior 100 Verdicts" sheetId="4" state="visible" r:id="rId6"/>
    <sheet name="Routes" sheetId="5" state="visible" r:id="rId7"/>
    <sheet name="Drop-Off Playbook" sheetId="6" state="visible" r:id="rId8"/>
  </sheets>
  <definedNames>
    <definedName function="false" hidden="true" localSheetId="2" name="_xlnm._FilterDatabase" vbProcedure="false">'Existing Accounts'!$A$4:$I$53</definedName>
    <definedName function="false" hidden="true" localSheetId="3" name="_xlnm._FilterDatabase" vbProcedure="false">'Prior 100 Verdicts'!$A$4:$F$104</definedName>
    <definedName function="false" hidden="true" localSheetId="1" name="_xlnm._FilterDatabase" vbProcedure="false">'Target List'!$A$1:$V$218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<sst xmlns="http://schemas.openxmlformats.org/spreadsheetml/2006/main" count="4159" uniqueCount="2256">
  <si>
    <t xml:space="preserve">South Shore Drop-Off Target List</t>
  </si>
  <si>
    <t xml:space="preserve">In-person prospecting universe for 5 Point Technology. v3, updated August 25, 2026.</t>
  </si>
  <si>
    <t xml:space="preserve">What this is</t>
  </si>
  <si>
    <t xml:space="preserve">217 drop-off targets across 15 half-day routes covering the whole 30 to 45 minute ring around</t>
  </si>
  <si>
    <t xml:space="preserve">Scituate and the Rockland office: the original Rockland/Hanover/Norwell/Pembroke core, plus the</t>
  </si>
  <si>
    <t xml:space="preserve">3A coast (Weymouth to Scituate), Quincy, Plymouth, the Rt 24 corridor and the Foxboro/495 belt.</t>
  </si>
  <si>
    <t xml:space="preserve">Also: your 49 existing accounts bucketed for in-person visits, and a drop-off verdict on every</t>
  </si>
  <si>
    <t xml:space="preserve">company from the 2026 targeting exercise. Sized roughly 20 to 500 on site, with a few larger</t>
  </si>
  <si>
    <t xml:space="preserve">local anchors kept in on purpose.</t>
  </si>
  <si>
    <t xml:space="preserve">Tiers</t>
  </si>
  <si>
    <t xml:space="preserve">A</t>
  </si>
  <si>
    <t xml:space="preserve">Bullseye. Fits the 5PT ICP: 50 to 500 staff or a compliance heavy vertical, decision maker on site.</t>
  </si>
  <si>
    <t xml:space="preserve">B</t>
  </si>
  <si>
    <t xml:space="preserve">Strong fit. Typically 25 to 100 staff, real office and operations, worth a stop on every route pass.</t>
  </si>
  <si>
    <t xml:space="preserve">C</t>
  </si>
  <si>
    <t xml:space="preserve">Opportunistic. Branches of larger companies, big local anchors, trades and dealers. Visit when on route.</t>
  </si>
  <si>
    <t xml:space="preserve">Counts</t>
  </si>
  <si>
    <t xml:space="preserve">Total targets</t>
  </si>
  <si>
    <t xml:space="preserve">Tier A</t>
  </si>
  <si>
    <t xml:space="preserve">Tier B</t>
  </si>
  <si>
    <t xml:space="preserve">Tier C</t>
  </si>
  <si>
    <t xml:space="preserve">With named IT contact</t>
  </si>
  <si>
    <t xml:space="preserve">With named owner/exec</t>
  </si>
  <si>
    <t xml:space="preserve">Rows flagged as accounts</t>
  </si>
  <si>
    <t xml:space="preserve">Your columns (highlighted yellow in the Target List)</t>
  </si>
  <si>
    <t xml:space="preserve">Status, Visit date, and Next step are yours to fill after each stop. Status has a dropdown. Example:</t>
  </si>
  <si>
    <t xml:space="preserve">Status</t>
  </si>
  <si>
    <t xml:space="preserve">Visit date</t>
  </si>
  <si>
    <t xml:space="preserve">Next step</t>
  </si>
  <si>
    <t xml:space="preserve">Met DM</t>
  </si>
  <si>
    <t xml:space="preserve">09/03/26</t>
  </si>
  <si>
    <t xml:space="preserve">Call booked Tue 9/9 9am w/ Anthony</t>
  </si>
  <si>
    <t xml:space="preserve">Sources and caveats</t>
  </si>
  <si>
    <t xml:space="preserve">Company and contact data: ZoomInfo (pulled 08/24-25/2026), your Chris_Accounts__Targets.xlsx upload,</t>
  </si>
  <si>
    <t xml:space="preserve">the 5 Point 2026 Targets Master and 5Point_Postcard_List_FINAL from Google Drive, spot checked on the web.</t>
  </si>
  <si>
    <t xml:space="preserve">The v3 expansion ring (S1, Q1, P2, K1, F1) was screened from about 1,400 raw companies in those towns.</t>
  </si>
  <si>
    <t xml:space="preserve">MSPs and IT providers in the ring were excluded as competitors, not targets; note that Thrive, a national</t>
  </si>
  <si>
    <t xml:space="preserve">MSP with about 1,400 staff, is headquartered in Foxborough, so expect incumbents on the F1 route.</t>
  </si>
  <si>
    <t xml:space="preserve">Employee counts are estimates and often span all locations. Contact names age fast: confirm at the</t>
  </si>
  <si>
    <t xml:space="preserve">front desk. Acct status flags rows you already have history with.</t>
  </si>
  <si>
    <t xml:space="preserve">Tier</t>
  </si>
  <si>
    <t xml:space="preserve">Route</t>
  </si>
  <si>
    <t xml:space="preserve">Company</t>
  </si>
  <si>
    <t xml:space="preserve">What they do</t>
  </si>
  <si>
    <t xml:space="preserve">Street (map link)</t>
  </si>
  <si>
    <t xml:space="preserve">Town</t>
  </si>
  <si>
    <t xml:space="preserve">Phone</t>
  </si>
  <si>
    <t xml:space="preserve">IT contact (ask for)</t>
  </si>
  <si>
    <t xml:space="preserve">Owner / exec</t>
  </si>
  <si>
    <t xml:space="preserve">Door opener</t>
  </si>
  <si>
    <t xml:space="preserve">Acct status</t>
  </si>
  <si>
    <t xml:space="preserve">Emp est</t>
  </si>
  <si>
    <t xml:space="preserve">Rev $M</t>
  </si>
  <si>
    <t xml:space="preserve">Founded</t>
  </si>
  <si>
    <t xml:space="preserve">Parent / ownership</t>
  </si>
  <si>
    <t xml:space="preserve">Website</t>
  </si>
  <si>
    <t xml:space="preserve">Notes</t>
  </si>
  <si>
    <t xml:space="preserve">ZIP</t>
  </si>
  <si>
    <t xml:space="preserve">ZoomInfo ID</t>
  </si>
  <si>
    <t xml:space="preserve">R1 Rockland Exit14/Ledgewood</t>
  </si>
  <si>
    <t xml:space="preserve">Cutter Associates</t>
  </si>
  <si>
    <t xml:space="preserve">Investment management research and consulting</t>
  </si>
  <si>
    <t xml:space="preserve">1050 Hingham St, Fl 1</t>
  </si>
  <si>
    <t xml:space="preserve">Rockland</t>
  </si>
  <si>
    <t xml:space="preserve">(339) 469-0600</t>
  </si>
  <si>
    <t xml:space="preserve">Cindy Castellano (Chief Executive Officer)</t>
  </si>
  <si>
    <t xml:space="preserve">Financial services firm handling asset manager data. Lead with security posture and M365 hardening.</t>
  </si>
  <si>
    <t xml:space="preserve">Prospect</t>
  </si>
  <si>
    <t xml:space="preserve">Nomura Research Institute</t>
  </si>
  <si>
    <t xml:space="preserve">cutterassociates.com</t>
  </si>
  <si>
    <t xml:space="preserve">Owned by Nomura Research Institute since 2022. Local office still runs day to day here. Hybrid workforce.</t>
  </si>
  <si>
    <t xml:space="preserve">Not visited</t>
  </si>
  <si>
    <t xml:space="preserve">02370</t>
  </si>
  <si>
    <t xml:space="preserve">FINTRX</t>
  </si>
  <si>
    <t xml:space="preserve">Family office and RIA data platform (SaaS)</t>
  </si>
  <si>
    <t xml:space="preserve">40 Reservoir Park Dr, Ste A</t>
  </si>
  <si>
    <t xml:space="preserve">(617) 517-0789</t>
  </si>
  <si>
    <t xml:space="preserve">Bruno Bonifacini (Software Developer &amp; Security Integrations Specialist)</t>
  </si>
  <si>
    <t xml:space="preserve">Dennis Caulfield (Chief Product &amp; Data Officer)</t>
  </si>
  <si>
    <t xml:space="preserve">Growing fintech with SOC 2 expectations from clients. Lead with co-managed security and compliance.</t>
  </si>
  <si>
    <t xml:space="preserve">fintrx.com</t>
  </si>
  <si>
    <t xml:space="preserve">Has developers but likely thin IT ops. Good co-managed fit. Fast growth company.</t>
  </si>
  <si>
    <t xml:space="preserve">The Catered Affair</t>
  </si>
  <si>
    <t xml:space="preserve">High end catering and events company, HQ</t>
  </si>
  <si>
    <t xml:space="preserve">70 Ledgewood Pl</t>
  </si>
  <si>
    <t xml:space="preserve">(781) 982-9333</t>
  </si>
  <si>
    <t xml:space="preserve">Gare Reid (Manager, Systems Integration)</t>
  </si>
  <si>
    <t xml:space="preserve">Holly Safford (Founder &amp; President)</t>
  </si>
  <si>
    <t xml:space="preserve">Seasonal staff surges and POS plus office systems. Lead with device turnaround and help desk overflow.</t>
  </si>
  <si>
    <t xml:space="preserve">thecateredaffair.com</t>
  </si>
  <si>
    <t xml:space="preserve">Runs venues across Boston area from this HQ. Employee count includes event staff.</t>
  </si>
  <si>
    <t xml:space="preserve">ControlPoint Technologies</t>
  </si>
  <si>
    <t xml:space="preserve">Electrical engineering and utility consulting</t>
  </si>
  <si>
    <t xml:space="preserve">200 Ledgewood Pl, Ste 300</t>
  </si>
  <si>
    <t xml:space="preserve">(781) 261-9666</t>
  </si>
  <si>
    <t xml:space="preserve">Adam Houghton (Director, System Planning)</t>
  </si>
  <si>
    <t xml:space="preserve">Jeffrey Flint (President)</t>
  </si>
  <si>
    <t xml:space="preserve">Engineers with CAD workstations and utility client data. Lead with backup, DR and project file uptime.</t>
  </si>
  <si>
    <t xml:space="preserve">cpteng.com</t>
  </si>
  <si>
    <t xml:space="preserve">Same building as Food Tech. Two stops, one parking lot.</t>
  </si>
  <si>
    <t xml:space="preserve">Burke &amp; Associates CPAs</t>
  </si>
  <si>
    <t xml:space="preserve">CPA and advisory firm</t>
  </si>
  <si>
    <t xml:space="preserve">300 Ledgewood Pl, Ste 300</t>
  </si>
  <si>
    <t xml:space="preserve">(781) 741-8887</t>
  </si>
  <si>
    <t xml:space="preserve">CPA firms must have a written security plan under FTC Safeguards. Ask who maintains their WISP.</t>
  </si>
  <si>
    <t xml:space="preserve">burkeandassoc.com</t>
  </si>
  <si>
    <t xml:space="preserve">Tax season uptime is everything. Best visited May through November.</t>
  </si>
  <si>
    <t xml:space="preserve">EMD Serono</t>
  </si>
  <si>
    <t xml:space="preserve">Biopharma R&amp;D campus (Merck KGaA)</t>
  </si>
  <si>
    <t xml:space="preserve">1 Technology Pl</t>
  </si>
  <si>
    <t xml:space="preserve">(800) 283-8088</t>
  </si>
  <si>
    <t xml:space="preserve">Richard Feldman (Vice President, Trade Product Security &amp; Done)</t>
  </si>
  <si>
    <t xml:space="preserve">Enterprise IT runs from global. Networking value only. Do not cold walk in past security.</t>
  </si>
  <si>
    <t xml:space="preserve">Merck KGaA</t>
  </si>
  <si>
    <t xml:space="preserve">emdserono.com</t>
  </si>
  <si>
    <t xml:space="preserve">Long shot. Better reached through events or referrals than a lobby visit.</t>
  </si>
  <si>
    <t xml:space="preserve">Food Tech</t>
  </si>
  <si>
    <t xml:space="preserve">Design build firm for food processing facilities</t>
  </si>
  <si>
    <t xml:space="preserve">200 Ledgewood Pl, Ste 200</t>
  </si>
  <si>
    <t xml:space="preserve">(781) 261-9700</t>
  </si>
  <si>
    <t xml:space="preserve">Leanda Karunia (Manager, Process &amp; System Cum PA)</t>
  </si>
  <si>
    <t xml:space="preserve">Jonathan Kohan (President)</t>
  </si>
  <si>
    <t xml:space="preserve">Project teams in the field need reliable laptops and file access. Lead with device management.</t>
  </si>
  <si>
    <t xml:space="preserve">EMCOR Group</t>
  </si>
  <si>
    <t xml:space="preserve">foodtech.com</t>
  </si>
  <si>
    <t xml:space="preserve">EMCOR subsidiary, so corporate IT may exist. Local office worth a walk in while next door.</t>
  </si>
  <si>
    <t xml:space="preserve">R2 Rockland Weymouth/Union</t>
  </si>
  <si>
    <t xml:space="preserve">Rockland Federal Credit Union</t>
  </si>
  <si>
    <t xml:space="preserve">Credit union, main office</t>
  </si>
  <si>
    <t xml:space="preserve">241 Union St</t>
  </si>
  <si>
    <t xml:space="preserve">(781) 878-0232</t>
  </si>
  <si>
    <t xml:space="preserve">Mark Federico (Chief Information Officer)</t>
  </si>
  <si>
    <t xml:space="preserve">Kristin VanBeek (Chief Executive Officer &amp; President)</t>
  </si>
  <si>
    <t xml:space="preserve">NCUA exams and vendor management pressure. Lead with vCISO, compliance alignment and MDR.</t>
  </si>
  <si>
    <t xml:space="preserve">rfcu.com</t>
  </si>
  <si>
    <t xml:space="preserve">Has internal IT led by a senior VP. Co-managed and security services angle, not full outsource.</t>
  </si>
  <si>
    <t xml:space="preserve">UPPAbaby</t>
  </si>
  <si>
    <t xml:space="preserve">Premium stroller and car seat brand, global HQ</t>
  </si>
  <si>
    <t xml:space="preserve">276 Weymouth St</t>
  </si>
  <si>
    <t xml:space="preserve">(781) 413-3000</t>
  </si>
  <si>
    <t xml:space="preserve">Darrell Van Meter (Director, Information Technology)</t>
  </si>
  <si>
    <t xml:space="preserve">Bob Monahan (Chief Executive Officer &amp; Co-Founder)</t>
  </si>
  <si>
    <t xml:space="preserve">Consumer brand with e-commerce, EDI and product data to protect. Lead with security and uptime.</t>
  </si>
  <si>
    <t xml:space="preserve">On 2026 target list</t>
  </si>
  <si>
    <t xml:space="preserve">uppababy.com</t>
  </si>
  <si>
    <t xml:space="preserve">Flagship local HQ. CPSC regulated products mean documentation and systems matter. Also on the 2026 Targets Master. Merge outreach history before visiting.</t>
  </si>
  <si>
    <t xml:space="preserve">Polymer Corporation</t>
  </si>
  <si>
    <t xml:space="preserve">Custom plastics and thermoforming manufacturer</t>
  </si>
  <si>
    <t xml:space="preserve">180 Pleasant St</t>
  </si>
  <si>
    <t xml:space="preserve">(781) 871-4606</t>
  </si>
  <si>
    <t xml:space="preserve">Ashwani Sharma (System Engineer)</t>
  </si>
  <si>
    <t xml:space="preserve">Jim Ryan (President)</t>
  </si>
  <si>
    <t xml:space="preserve">100 person manufacturer, likely 0 to 2 IT staff. Lead with co-managed support and plant uptime.</t>
  </si>
  <si>
    <t xml:space="preserve">polymercorporation.com</t>
  </si>
  <si>
    <t xml:space="preserve">Classic ICP manufacturer. Strong first stop.</t>
  </si>
  <si>
    <t xml:space="preserve">Briggs Engineering</t>
  </si>
  <si>
    <t xml:space="preserve">Civil and structural engineering, survey</t>
  </si>
  <si>
    <t xml:space="preserve">100 Weymouth St, Ste C2</t>
  </si>
  <si>
    <t xml:space="preserve">(781) 871-6040</t>
  </si>
  <si>
    <t xml:space="preserve">Sean Skorohod (Testing Services President &amp; Director)</t>
  </si>
  <si>
    <t xml:space="preserve">CAD and survey data with municipal clients. Lead with backup, DR and file server performance.</t>
  </si>
  <si>
    <t xml:space="preserve">briggsengineering.com</t>
  </si>
  <si>
    <t xml:space="preserve">Same complex as Bendon Gear. Two stops, one lot.</t>
  </si>
  <si>
    <t xml:space="preserve">National Coating</t>
  </si>
  <si>
    <t xml:space="preserve">Coated fabrics and technical textiles manufacturer</t>
  </si>
  <si>
    <t xml:space="preserve">105 Industrial Way</t>
  </si>
  <si>
    <t xml:space="preserve">(800) 979-9332</t>
  </si>
  <si>
    <t xml:space="preserve">Production scheduling and quality systems on aging infrastructure is common here. Ask about uptime.</t>
  </si>
  <si>
    <t xml:space="preserve">natcoat.com</t>
  </si>
  <si>
    <t xml:space="preserve">K5 Corporation</t>
  </si>
  <si>
    <t xml:space="preserve">Utility and civil construction contractor</t>
  </si>
  <si>
    <t xml:space="preserve">9 Rockview Way, Ste B</t>
  </si>
  <si>
    <t xml:space="preserve">(781) 982-9229</t>
  </si>
  <si>
    <t xml:space="preserve">Ronald Beaudoin (Chief Executive Officer)</t>
  </si>
  <si>
    <t xml:space="preserve">Contractors are prime wire fraud targets. Lead with email security and payment fraud protection.</t>
  </si>
  <si>
    <t xml:space="preserve">k5corporation.com</t>
  </si>
  <si>
    <t xml:space="preserve">Next door to Commonwealth Building Systems.</t>
  </si>
  <si>
    <t xml:space="preserve">George T. Wilkinson</t>
  </si>
  <si>
    <t xml:space="preserve">Commercial HVAC service and mechanical contractor</t>
  </si>
  <si>
    <t xml:space="preserve">405 VFW Dr, Ste 1</t>
  </si>
  <si>
    <t xml:space="preserve">(781) 335-2622</t>
  </si>
  <si>
    <t xml:space="preserve">Geoffrey Wilkinson (Chief Executive Officer)</t>
  </si>
  <si>
    <t xml:space="preserve">Dispatch, service software and field devices. Lead with help desk and device management.</t>
  </si>
  <si>
    <t xml:space="preserve">gtwilkinson.com</t>
  </si>
  <si>
    <t xml:space="preserve">Commonwealth Building Systems</t>
  </si>
  <si>
    <t xml:space="preserve">Drywall and framing subcontractor</t>
  </si>
  <si>
    <t xml:space="preserve">17 Rockview Way</t>
  </si>
  <si>
    <t xml:space="preserve">(781) 792-0032</t>
  </si>
  <si>
    <t xml:space="preserve">Estimating and project files plus field crews. Lead with backup and email fraud protection.</t>
  </si>
  <si>
    <t xml:space="preserve">commonwealthbuildingsystems.com</t>
  </si>
  <si>
    <t xml:space="preserve">Next door to K5. Pair the stops.</t>
  </si>
  <si>
    <t xml:space="preserve">Bendon Gear &amp; Machine</t>
  </si>
  <si>
    <t xml:space="preserve">Precision gear and machine shop (defense work)</t>
  </si>
  <si>
    <t xml:space="preserve">100 Weymouth St, Ste A1</t>
  </si>
  <si>
    <t xml:space="preserve">(781) 878-8100</t>
  </si>
  <si>
    <t xml:space="preserve">S. Belezos (Founder and Chief Executive Officer)</t>
  </si>
  <si>
    <t xml:space="preserve">Defense suppliers face CMMC requirements. Ask how they are handling CMMC and NIST 800-171.</t>
  </si>
  <si>
    <t xml:space="preserve">bendongear.com</t>
  </si>
  <si>
    <t xml:space="preserve">ITAR and CMMC pressure is a strong door opener for machine shops.</t>
  </si>
  <si>
    <t xml:space="preserve">Alletess Medical Laboratory</t>
  </si>
  <si>
    <t xml:space="preserve">Clinical allergy and immunology lab</t>
  </si>
  <si>
    <t xml:space="preserve">14 Howard St</t>
  </si>
  <si>
    <t xml:space="preserve">(800) 225-5404</t>
  </si>
  <si>
    <t xml:space="preserve">John Connelly (IT Specialist)</t>
  </si>
  <si>
    <t xml:space="preserve">Mark McDonough (Chief Executive Officer)</t>
  </si>
  <si>
    <t xml:space="preserve">CLIA lab with PHI. Lead with HIPAA risk assessment and lab system uptime.</t>
  </si>
  <si>
    <t xml:space="preserve">foodallergy.com</t>
  </si>
  <si>
    <t xml:space="preserve">Rockland Trust (Independent Bank Corp)</t>
  </si>
  <si>
    <t xml:space="preserve">Commercial bank, corporate offices</t>
  </si>
  <si>
    <t xml:space="preserve">288 Union St</t>
  </si>
  <si>
    <t xml:space="preserve">(508) 732-7072</t>
  </si>
  <si>
    <t xml:space="preserve">Dave Marsh (Interim Chief Information Officer)</t>
  </si>
  <si>
    <t xml:space="preserve">Enterprise bank with a full IT department. Networking and events only.</t>
  </si>
  <si>
    <t xml:space="preserve">Independent Bank Corp</t>
  </si>
  <si>
    <t xml:space="preserve">rocklandtrust.com</t>
  </si>
  <si>
    <t xml:space="preserve">Long shot. Do not cold walk in. Useful for community sponsorship visibility.</t>
  </si>
  <si>
    <t xml:space="preserve">United A/C, Heating &amp; Refrigeration</t>
  </si>
  <si>
    <t xml:space="preserve">Commercial HVAC and refrigeration contractor</t>
  </si>
  <si>
    <t xml:space="preserve">333 Weymouth St</t>
  </si>
  <si>
    <t xml:space="preserve">(781) 871-1060</t>
  </si>
  <si>
    <t xml:space="preserve">Thomas Scolaro (President)</t>
  </si>
  <si>
    <t xml:space="preserve">Field techs on mobile devices and dispatch software. Lead with help desk and device management.</t>
  </si>
  <si>
    <t xml:space="preserve">united-hvac.com</t>
  </si>
  <si>
    <t xml:space="preserve">Employee count may include field crews.</t>
  </si>
  <si>
    <t xml:space="preserve">Green Environmental</t>
  </si>
  <si>
    <t xml:space="preserve">Environmental testing and consulting</t>
  </si>
  <si>
    <t xml:space="preserve">296 Weymouth St, Ste C</t>
  </si>
  <si>
    <t xml:space="preserve">(617) 479-0550</t>
  </si>
  <si>
    <t xml:space="preserve">Donnie Green (President)</t>
  </si>
  <si>
    <t xml:space="preserve">Lab data and client reports need retention and backup. Lead with data protection.</t>
  </si>
  <si>
    <t xml:space="preserve">greenenvironmental.com</t>
  </si>
  <si>
    <t xml:space="preserve">OneScience</t>
  </si>
  <si>
    <t xml:space="preserve">Scientific staffing and lab services</t>
  </si>
  <si>
    <t xml:space="preserve">222 Weymouth St, Ste 2</t>
  </si>
  <si>
    <t xml:space="preserve">(508) 930-1270</t>
  </si>
  <si>
    <t xml:space="preserve">Placement records and client portals. Lead with M365 security and help desk.</t>
  </si>
  <si>
    <t xml:space="preserve">onescience.com</t>
  </si>
  <si>
    <t xml:space="preserve">MIJA</t>
  </si>
  <si>
    <t xml:space="preserve">Pressure gauge and sensor manufacturer</t>
  </si>
  <si>
    <t xml:space="preserve">11 Commerce Rd, Ste C</t>
  </si>
  <si>
    <t xml:space="preserve">(781) 871-5750</t>
  </si>
  <si>
    <t xml:space="preserve">James Sommerio (President)</t>
  </si>
  <si>
    <t xml:space="preserve">Manufacturer with fire safety OEM customers. Lead with production uptime and email security.</t>
  </si>
  <si>
    <t xml:space="preserve">Valcom / Keltron</t>
  </si>
  <si>
    <t xml:space="preserve">mija.com</t>
  </si>
  <si>
    <t xml:space="preserve">Acquired by Keltron. Confirm who owns IT decisions locally.</t>
  </si>
  <si>
    <t xml:space="preserve">RuggedMade</t>
  </si>
  <si>
    <t xml:space="preserve">Log splitters and outdoor power equipment, e-commerce</t>
  </si>
  <si>
    <t xml:space="preserve">7 Market St</t>
  </si>
  <si>
    <t xml:space="preserve">(855) 878-4433</t>
  </si>
  <si>
    <t xml:space="preserve">Jared Malarsky (President)</t>
  </si>
  <si>
    <t xml:space="preserve">E-commerce ops and warehouse systems. Lead with uptime and endpoint security.</t>
  </si>
  <si>
    <t xml:space="preserve">ruggedmade.com</t>
  </si>
  <si>
    <t xml:space="preserve">N1 Norwell Accord Park</t>
  </si>
  <si>
    <t xml:space="preserve">Avedis Zildjian Company</t>
  </si>
  <si>
    <t xml:space="preserve">Cymbal and drumstick maker, global HQ and factory</t>
  </si>
  <si>
    <t xml:space="preserve">22 Longwater Dr</t>
  </si>
  <si>
    <t xml:space="preserve">Norwell</t>
  </si>
  <si>
    <t xml:space="preserve">(781) 871-2200</t>
  </si>
  <si>
    <t xml:space="preserve">James Clifford (Senior Director, Information Technology)</t>
  </si>
  <si>
    <t xml:space="preserve">Thomas Young (Senior Vice President, Chief Financial Officer and Treasurer)</t>
  </si>
  <si>
    <t xml:space="preserve">400 year old brand with modern e-commerce and a factory floor. Lead with plant uptime and security.</t>
  </si>
  <si>
    <t xml:space="preserve">zildjian.com</t>
  </si>
  <si>
    <t xml:space="preserve">Vic Firth is part of Zildjian, same campus. Iconic account for local proof.</t>
  </si>
  <si>
    <t xml:space="preserve">02061</t>
  </si>
  <si>
    <t xml:space="preserve">Radius Financial Group</t>
  </si>
  <si>
    <t xml:space="preserve">Mortgage lender, HQ</t>
  </si>
  <si>
    <t xml:space="preserve">600 Longwater Dr, Ste 107</t>
  </si>
  <si>
    <t xml:space="preserve">(877) 223-4800</t>
  </si>
  <si>
    <t xml:space="preserve">Jake Gent (IT Support Specialist)</t>
  </si>
  <si>
    <t xml:space="preserve">David O'Connor (Chief Technology Officer)</t>
  </si>
  <si>
    <t xml:space="preserve">GLBA safeguards and loan file security. Lead with compliance, MDR and endpoint management.</t>
  </si>
  <si>
    <t xml:space="preserve">radiusgrp.com</t>
  </si>
  <si>
    <t xml:space="preserve">Same building as Miniter Group, different suite. Pair the stops.</t>
  </si>
  <si>
    <t xml:space="preserve">NVNA and Hospice (Norwell VNA)</t>
  </si>
  <si>
    <t xml:space="preserve">Visiting nurse association and hospice, nonprofit</t>
  </si>
  <si>
    <t xml:space="preserve">120 Longwater Dr, Ste 104</t>
  </si>
  <si>
    <t xml:space="preserve">(781) 659-2342</t>
  </si>
  <si>
    <t xml:space="preserve">Samuel Lutz (It Help Desk Technician)</t>
  </si>
  <si>
    <t xml:space="preserve">Bj Snow (Chief Human Resources Officer)</t>
  </si>
  <si>
    <t xml:space="preserve">Clinicians in the field on mobile devices with PHI. Lead with HIPAA, device management and help desk.</t>
  </si>
  <si>
    <t xml:space="preserve">nvna.org</t>
  </si>
  <si>
    <t xml:space="preserve">Nonprofit budget cycle. EHR uptime and clinician onboarding speed are real pains.</t>
  </si>
  <si>
    <t xml:space="preserve">DIH Holding US (Hocoma)</t>
  </si>
  <si>
    <t xml:space="preserve">Rehab robotics and medtech, US HQ</t>
  </si>
  <si>
    <t xml:space="preserve">77 Accord Park Dr, Ste D1</t>
  </si>
  <si>
    <t xml:space="preserve">(617) 871-2101</t>
  </si>
  <si>
    <t xml:space="preserve">Haile Mitiku (Manager, Information Technology)</t>
  </si>
  <si>
    <t xml:space="preserve">Jason Chen (Chief Executive Officer &amp; Chairman)</t>
  </si>
  <si>
    <t xml:space="preserve">Public medtech company with FDA documentation needs. Lead with compliance ready IT and security.</t>
  </si>
  <si>
    <t xml:space="preserve">dih.com</t>
  </si>
  <si>
    <t xml:space="preserve">NASDAQ listed. Hocoma brand runs from same office.</t>
  </si>
  <si>
    <t xml:space="preserve">Miniter Group</t>
  </si>
  <si>
    <t xml:space="preserve">Lender placed insurance and insurtech</t>
  </si>
  <si>
    <t xml:space="preserve">600 Longwater Dr, Ste 301</t>
  </si>
  <si>
    <t xml:space="preserve">(800) 646-4837</t>
  </si>
  <si>
    <t xml:space="preserve">Wayne Brantley (Chief Information Officer)</t>
  </si>
  <si>
    <t xml:space="preserve">Julianne Gilpin (President &amp; Chief Executive Officer)</t>
  </si>
  <si>
    <t xml:space="preserve">Insurance data plus bank clients means audits. Lead with SOC 2 support and security posture.</t>
  </si>
  <si>
    <t xml:space="preserve">miniter.com</t>
  </si>
  <si>
    <t xml:space="preserve">Same building as Radius. Two ICP financial accounts in one stop.</t>
  </si>
  <si>
    <t xml:space="preserve">Snow &amp; Jones</t>
  </si>
  <si>
    <t xml:space="preserve">Plumbing and HVAC wholesale distributor, HQ</t>
  </si>
  <si>
    <t xml:space="preserve">85 Accord Park Dr</t>
  </si>
  <si>
    <t xml:space="preserve">(781) 878-3312</t>
  </si>
  <si>
    <t xml:space="preserve">Danielle Jones (President)</t>
  </si>
  <si>
    <t xml:space="preserve">Multi branch distributor on one ERP. Lead with branch connectivity, uptime and ransomware defense.</t>
  </si>
  <si>
    <t xml:space="preserve">snowandjones.com</t>
  </si>
  <si>
    <t xml:space="preserve">7 locations run from here.</t>
  </si>
  <si>
    <t xml:space="preserve">Airxchange</t>
  </si>
  <si>
    <t xml:space="preserve">Energy recovery ventilation components manufacturer</t>
  </si>
  <si>
    <t xml:space="preserve">85 Longwater Dr</t>
  </si>
  <si>
    <t xml:space="preserve">(781) 871-4816</t>
  </si>
  <si>
    <t xml:space="preserve">Randall Steele (President &amp; Chief Executive Officer)</t>
  </si>
  <si>
    <t xml:space="preserve">OEM manufacturer with lean office staff. Lead with co-managed IT and production uptime.</t>
  </si>
  <si>
    <t xml:space="preserve">airxchange.com</t>
  </si>
  <si>
    <t xml:space="preserve">Rockland address but sits in the Accord Park corridor. Route with Norwell stops.</t>
  </si>
  <si>
    <t xml:space="preserve">Alternatives ABA</t>
  </si>
  <si>
    <t xml:space="preserve">ABA therapy provider</t>
  </si>
  <si>
    <t xml:space="preserve">76 Accord Park Dr</t>
  </si>
  <si>
    <t xml:space="preserve">(781) 923-0900</t>
  </si>
  <si>
    <t xml:space="preserve">Therapists documenting sessions on tablets. Lead with HIPAA, MDM and fast clinician onboarding.</t>
  </si>
  <si>
    <t xml:space="preserve">alternativesaba.com</t>
  </si>
  <si>
    <t xml:space="preserve">ABA groups grow fast and outgrow their IT.</t>
  </si>
  <si>
    <t xml:space="preserve">North River Home Care</t>
  </si>
  <si>
    <t xml:space="preserve">Private home care agency</t>
  </si>
  <si>
    <t xml:space="preserve">275 Longwater Dr</t>
  </si>
  <si>
    <t xml:space="preserve">(781) 352-0939</t>
  </si>
  <si>
    <t xml:space="preserve">Heather Kenney (Owner)</t>
  </si>
  <si>
    <t xml:space="preserve">Caregiver scheduling and PHI on personal devices. Lead with HIPAA and mobile device management.</t>
  </si>
  <si>
    <t xml:space="preserve">northriverhc.com</t>
  </si>
  <si>
    <t xml:space="preserve">Radio Solutions</t>
  </si>
  <si>
    <t xml:space="preserve">Two way radio and wireless communications dealer</t>
  </si>
  <si>
    <t xml:space="preserve">55 Accord Park Dr</t>
  </si>
  <si>
    <t xml:space="preserve">(781) 561-3000</t>
  </si>
  <si>
    <t xml:space="preserve">Matthew Dalton (Lead System Engineer)</t>
  </si>
  <si>
    <t xml:space="preserve">Admir Surkovic (President, Chief Executive Officer)</t>
  </si>
  <si>
    <t xml:space="preserve">Tech adjacent but not an MSP. Lead with M365, security and back office systems.</t>
  </si>
  <si>
    <t xml:space="preserve">radiosolutionsinc.com</t>
  </si>
  <si>
    <t xml:space="preserve">Possible referral partner too. They see every public safety and facilities buyer locally.</t>
  </si>
  <si>
    <t xml:space="preserve">TryAngle Foods</t>
  </si>
  <si>
    <t xml:space="preserve">Food distribution and provisions</t>
  </si>
  <si>
    <t xml:space="preserve">17 Accord Park Dr, Ste 202</t>
  </si>
  <si>
    <t xml:space="preserve">(781) 871-6969</t>
  </si>
  <si>
    <t xml:space="preserve">Doug Vonlderstein (Founder)</t>
  </si>
  <si>
    <t xml:space="preserve">Orders, routing and invoicing systems. Lead with uptime and email fraud protection.</t>
  </si>
  <si>
    <t xml:space="preserve">tryanglefoods.com</t>
  </si>
  <si>
    <t xml:space="preserve">Blue Bear Plumbing, Heating &amp; Air</t>
  </si>
  <si>
    <t xml:space="preserve">Residential home services, fast growing</t>
  </si>
  <si>
    <t xml:space="preserve">300 Longwater Dr</t>
  </si>
  <si>
    <t xml:space="preserve">(781) 531-8227</t>
  </si>
  <si>
    <t xml:space="preserve">Christopher Murphy (Owner)</t>
  </si>
  <si>
    <t xml:space="preserve">Fast growth home services firm. Lead with scaling help desk, dispatch uptime and onboarding techs.</t>
  </si>
  <si>
    <t xml:space="preserve">bluebearplumbing.com</t>
  </si>
  <si>
    <t xml:space="preserve">PE style growth playbook. Headcount likely higher than listed.</t>
  </si>
  <si>
    <t xml:space="preserve">The Driscoll Agency</t>
  </si>
  <si>
    <t xml:space="preserve">Specialty insurance agency</t>
  </si>
  <si>
    <t xml:space="preserve">141 Longwater Dr, Ste 203</t>
  </si>
  <si>
    <t xml:space="preserve">(781) 681-6656</t>
  </si>
  <si>
    <t xml:space="preserve">Sean Driscoll (Owner)</t>
  </si>
  <si>
    <t xml:space="preserve">Client PII and carrier portals. Lead with email security and compliance basics.</t>
  </si>
  <si>
    <t xml:space="preserve">driscollagency.com</t>
  </si>
  <si>
    <t xml:space="preserve">Safety-Kleen (Clean Harbors)</t>
  </si>
  <si>
    <t xml:space="preserve">Environmental services, corporate offices</t>
  </si>
  <si>
    <t xml:space="preserve">42 Longwater Dr</t>
  </si>
  <si>
    <t xml:space="preserve">(800) 323-5040</t>
  </si>
  <si>
    <t xml:space="preserve">Caroline Johal (Group Manager, Information Technology Enterprise Solution)</t>
  </si>
  <si>
    <t xml:space="preserve">Clean Harbors corporate campus. Enterprise IT. Networking only.</t>
  </si>
  <si>
    <t xml:space="preserve">Parent is current acct</t>
  </si>
  <si>
    <t xml:space="preserve">Clean Harbors</t>
  </si>
  <si>
    <t xml:space="preserve">safety-kleen.com</t>
  </si>
  <si>
    <t xml:space="preserve">Long shot. Skip on drop-off routes unless door is open. Clean Harbors is a current account (met, no revenue). Coordinate before any visit.</t>
  </si>
  <si>
    <t xml:space="preserve">Sullivan Tire</t>
  </si>
  <si>
    <t xml:space="preserve">Tire and auto service chain, corporate HQ</t>
  </si>
  <si>
    <t xml:space="preserve">41 Accord Park Dr</t>
  </si>
  <si>
    <t xml:space="preserve">(781) 982-1550</t>
  </si>
  <si>
    <t xml:space="preserve">Joshua Sweeney (Supervisor, Application &amp; Systems Development)</t>
  </si>
  <si>
    <t xml:space="preserve">Large internal IT exists. Pitch co-managed burst capacity or specific projects only.</t>
  </si>
  <si>
    <t xml:space="preserve">sullivantire.com</t>
  </si>
  <si>
    <t xml:space="preserve">Family owned, HQ here. Worth relationship building even if no quick win.</t>
  </si>
  <si>
    <t xml:space="preserve">Signet Electronic Systems</t>
  </si>
  <si>
    <t xml:space="preserve">Low voltage systems integrator</t>
  </si>
  <si>
    <t xml:space="preserve">90 Longwater Dr</t>
  </si>
  <si>
    <t xml:space="preserve">(781) 871-5888</t>
  </si>
  <si>
    <t xml:space="preserve">William Ainslie (Healthcare Systems Engineer)</t>
  </si>
  <si>
    <t xml:space="preserve">Brad Caron (President)</t>
  </si>
  <si>
    <t xml:space="preserve">Integrator, now Pavion owned. Treat as partner or referral source more than prospect.</t>
  </si>
  <si>
    <t xml:space="preserve">Pavion</t>
  </si>
  <si>
    <t xml:space="preserve">signetgroup.net</t>
  </si>
  <si>
    <t xml:space="preserve">They install AV, security and nurse call. Complementary, not competing. Coffee meeting target.</t>
  </si>
  <si>
    <t xml:space="preserve">N2 Norwell Rt53/QueenAnne's</t>
  </si>
  <si>
    <t xml:space="preserve">South Shore Skin Center</t>
  </si>
  <si>
    <t xml:space="preserve">Dermatology practice and med spa</t>
  </si>
  <si>
    <t xml:space="preserve">75 Washington St, Ste 1</t>
  </si>
  <si>
    <t xml:space="preserve">(781) 878-6495</t>
  </si>
  <si>
    <t xml:space="preserve">EHR uptime and HIPAA. Lead with a HIPAA security risk assessment, which insurers now expect.</t>
  </si>
  <si>
    <t xml:space="preserve">southshoreskincenter.com</t>
  </si>
  <si>
    <t xml:space="preserve">Multi provider practice. Visit mid afternoon, never during morning patient rush.</t>
  </si>
  <si>
    <t xml:space="preserve">Jack Conway &amp; Co.</t>
  </si>
  <si>
    <t xml:space="preserve">Real estate brokerage, HQ</t>
  </si>
  <si>
    <t xml:space="preserve">137 Washington St</t>
  </si>
  <si>
    <t xml:space="preserve">(888) 735-3574</t>
  </si>
  <si>
    <t xml:space="preserve">Al Becker (Real Estate President &amp; Chief Operating Officer &amp; Agent)</t>
  </si>
  <si>
    <t xml:space="preserve">22 offices and hundreds of agents on shared systems. Lead with help desk and branch support.</t>
  </si>
  <si>
    <t xml:space="preserve">jackconway.com</t>
  </si>
  <si>
    <t xml:space="preserve">Employee figure includes agents. Corporate staff here is much smaller.</t>
  </si>
  <si>
    <t xml:space="preserve">Southwood at Norwell Nursing Center</t>
  </si>
  <si>
    <t xml:space="preserve">Skilled nursing facility</t>
  </si>
  <si>
    <t xml:space="preserve">501 Cordwainer Dr</t>
  </si>
  <si>
    <t xml:space="preserve">(781) 982-7450</t>
  </si>
  <si>
    <t xml:space="preserve">EHR, nurse call and HIPAA on a 24x7 clock. Lead with reliable support and security.</t>
  </si>
  <si>
    <t xml:space="preserve">southwoodatnorwell.com</t>
  </si>
  <si>
    <t xml:space="preserve">Visit administrator midweek, mid morning.</t>
  </si>
  <si>
    <t xml:space="preserve">Proven Behavior Solutions</t>
  </si>
  <si>
    <t xml:space="preserve">ABA therapy centers</t>
  </si>
  <si>
    <t xml:space="preserve">80 Washington St, Ste Q57</t>
  </si>
  <si>
    <t xml:space="preserve">(781) 290-3886</t>
  </si>
  <si>
    <t xml:space="preserve">Kyle Bray (President &amp; Chief Operating Officer)</t>
  </si>
  <si>
    <t xml:space="preserve">Growing multi site ABA group. Lead with HIPAA, MDM and opening new sites fast.</t>
  </si>
  <si>
    <t xml:space="preserve">provenaba.com</t>
  </si>
  <si>
    <t xml:space="preserve">Queen Anne's Corner plaza. Three targets share the 80 Washington St complex.</t>
  </si>
  <si>
    <t xml:space="preserve">South Shore Autism Center</t>
  </si>
  <si>
    <t xml:space="preserve">45 Pond St</t>
  </si>
  <si>
    <t xml:space="preserve">(781) 421-6182</t>
  </si>
  <si>
    <t xml:space="preserve">Erin McLoughlin (Chief Executive Officer)</t>
  </si>
  <si>
    <t xml:space="preserve">Two growing clinic sites. Lead with HIPAA, Wi-Fi reliability and new hire device turnaround.</t>
  </si>
  <si>
    <t xml:space="preserve">ssautismcenter.com</t>
  </si>
  <si>
    <t xml:space="preserve">LMHS, P.C.</t>
  </si>
  <si>
    <t xml:space="preserve">CPA firm</t>
  </si>
  <si>
    <t xml:space="preserve">80 Washington St, Bldg S</t>
  </si>
  <si>
    <t xml:space="preserve">(781) 878-9111</t>
  </si>
  <si>
    <t xml:space="preserve">Randy Toscano (Director, System and Business Partner)</t>
  </si>
  <si>
    <t xml:space="preserve">FTC Safeguards requires CPA firms to maintain a written security plan. Ask who owns theirs.</t>
  </si>
  <si>
    <t xml:space="preserve">lmhspc.com</t>
  </si>
  <si>
    <t xml:space="preserve">Same plaza as Proven Behavior and Oral Surgery South.</t>
  </si>
  <si>
    <t xml:space="preserve">Oral Surgery South</t>
  </si>
  <si>
    <t xml:space="preserve">Oral and maxillofacial surgery practice</t>
  </si>
  <si>
    <t xml:space="preserve">80 Washington St, Ste N51</t>
  </si>
  <si>
    <t xml:space="preserve">(781) 871-1677</t>
  </si>
  <si>
    <t xml:space="preserve">Tony Rubeiz (Partner)</t>
  </si>
  <si>
    <t xml:space="preserve">Imaging systems and PHI across four sites. Lead with HIPAA and practice uptime.</t>
  </si>
  <si>
    <t xml:space="preserve">oralsurgerysouth.com</t>
  </si>
  <si>
    <t xml:space="preserve">4 locations. Same plaza as LMHS and Proven Behavior.</t>
  </si>
  <si>
    <t xml:space="preserve">Arbour Counseling Services</t>
  </si>
  <si>
    <t xml:space="preserve">Behavioral health clinics</t>
  </si>
  <si>
    <t xml:space="preserve">384 Washington St, Ste 202</t>
  </si>
  <si>
    <t xml:space="preserve">(781) 871-6550</t>
  </si>
  <si>
    <t xml:space="preserve">Jose Torres (IT Specialist &amp; IT Engineer &amp; Senior Manager &amp; Director, ...)</t>
  </si>
  <si>
    <t xml:space="preserve">UHS corporate IT covers them. Skip unless a local contact invites the conversation.</t>
  </si>
  <si>
    <t xml:space="preserve">Universal Health Services</t>
  </si>
  <si>
    <t xml:space="preserve">arbourhealth.com</t>
  </si>
  <si>
    <t xml:space="preserve">Branch of a national system.</t>
  </si>
  <si>
    <t xml:space="preserve">Friendship Home</t>
  </si>
  <si>
    <t xml:space="preserve">Nonprofit respite and disability services</t>
  </si>
  <si>
    <t xml:space="preserve">458 Main St</t>
  </si>
  <si>
    <t xml:space="preserve">(781) 659-8202</t>
  </si>
  <si>
    <t xml:space="preserve">Wilma Goodhue (Co-Founder)</t>
  </si>
  <si>
    <t xml:space="preserve">Lean nonprofit. Lead with right sized support and donor data protection.</t>
  </si>
  <si>
    <t xml:space="preserve">friendshiphome.net</t>
  </si>
  <si>
    <t xml:space="preserve">Dolomite Bio (Blacktrace US)</t>
  </si>
  <si>
    <t xml:space="preserve">Single cell biology instruments, US office</t>
  </si>
  <si>
    <t xml:space="preserve">156 Norwell Ave</t>
  </si>
  <si>
    <t xml:space="preserve">+44 1763 252149</t>
  </si>
  <si>
    <t xml:space="preserve">Life sciences instruments office. Lead with lab IT support for US operations.</t>
  </si>
  <si>
    <t xml:space="preserve">Blacktrace Holdings (UK)</t>
  </si>
  <si>
    <t xml:space="preserve">dolomite-bio.com</t>
  </si>
  <si>
    <t xml:space="preserve">Verify before visiting. US office is small and phone routes to UK.</t>
  </si>
  <si>
    <t xml:space="preserve">AJAX Jets</t>
  </si>
  <si>
    <t xml:space="preserve">Private jet charter</t>
  </si>
  <si>
    <t xml:space="preserve">167 Washington St</t>
  </si>
  <si>
    <t xml:space="preserve">(617) 855-5378</t>
  </si>
  <si>
    <t xml:space="preserve">High net worth client data and scheduling ops. Lead with security and white glove support.</t>
  </si>
  <si>
    <t xml:space="preserve">ajaxjets.com</t>
  </si>
  <si>
    <t xml:space="preserve">H1 Hanover Rt53/139</t>
  </si>
  <si>
    <t xml:space="preserve">Cardinal Cushing Centers</t>
  </si>
  <si>
    <t xml:space="preserve">Special education and disability services nonprofit</t>
  </si>
  <si>
    <t xml:space="preserve">405 Washington St</t>
  </si>
  <si>
    <t xml:space="preserve">Hanover</t>
  </si>
  <si>
    <t xml:space="preserve">(781) 826-6371</t>
  </si>
  <si>
    <t xml:space="preserve">Evan Moniz (Manager, Network)</t>
  </si>
  <si>
    <t xml:space="preserve">Gina Rosas (Chief Operating Officer)</t>
  </si>
  <si>
    <t xml:space="preserve">Student records, HIPAA and FERPA with a lean budget. Lead with co-managed support and security.</t>
  </si>
  <si>
    <t xml:space="preserve">cushingcenters.org</t>
  </si>
  <si>
    <t xml:space="preserve">Large campus on Rt 53. Ask for the business office.</t>
  </si>
  <si>
    <t xml:space="preserve">02339</t>
  </si>
  <si>
    <t xml:space="preserve">Homestead Mortgage</t>
  </si>
  <si>
    <t xml:space="preserve">Mortgage lender</t>
  </si>
  <si>
    <t xml:space="preserve">427 Columbia Rd, Ste 114</t>
  </si>
  <si>
    <t xml:space="preserve">(781) 924-5482</t>
  </si>
  <si>
    <t xml:space="preserve">Kimmie Miller (Owner)</t>
  </si>
  <si>
    <t xml:space="preserve">GLBA safeguards and loan officer laptops everywhere. Lead with compliance and device management.</t>
  </si>
  <si>
    <t xml:space="preserve">myhomesteadmortgage.com</t>
  </si>
  <si>
    <t xml:space="preserve">Same building as Merrill Associates.</t>
  </si>
  <si>
    <t xml:space="preserve">First Resource Management</t>
  </si>
  <si>
    <t xml:space="preserve">Affordable housing property management</t>
  </si>
  <si>
    <t xml:space="preserve">2001 Washington St</t>
  </si>
  <si>
    <t xml:space="preserve">(781) 659-0025</t>
  </si>
  <si>
    <t xml:space="preserve">Gordon Pulsifer (President)</t>
  </si>
  <si>
    <t xml:space="preserve">HUD compliance paperwork and resident data across sites. Lead with secure, supported systems.</t>
  </si>
  <si>
    <t xml:space="preserve">firstresourcecompanies.com</t>
  </si>
  <si>
    <t xml:space="preserve">Across the street from Jannell Ford.</t>
  </si>
  <si>
    <t xml:space="preserve">Wozny/Barbar &amp; Associates</t>
  </si>
  <si>
    <t xml:space="preserve">MEP engineering firm</t>
  </si>
  <si>
    <t xml:space="preserve">1076 Washington St</t>
  </si>
  <si>
    <t xml:space="preserve">(781) 826-4144</t>
  </si>
  <si>
    <t xml:space="preserve">Zbigniew Wozny (President)</t>
  </si>
  <si>
    <t xml:space="preserve">Revit and CAD workstations. Lead with performance, backup and project deadlines.</t>
  </si>
  <si>
    <t xml:space="preserve">wbaengineers.com</t>
  </si>
  <si>
    <t xml:space="preserve">Merrill Associates</t>
  </si>
  <si>
    <t xml:space="preserve">Civil engineering and land surveying</t>
  </si>
  <si>
    <t xml:space="preserve">427 Columbia Rd</t>
  </si>
  <si>
    <t xml:space="preserve">(781) 826-9200</t>
  </si>
  <si>
    <t xml:space="preserve">Robert Merrill (President)</t>
  </si>
  <si>
    <t xml:space="preserve">Survey data and CAD files. Lead with backup and file access speed.</t>
  </si>
  <si>
    <t xml:space="preserve">merrillinc.com</t>
  </si>
  <si>
    <t xml:space="preserve">Same building as Homestead Mortgage. Pair the stops.</t>
  </si>
  <si>
    <t xml:space="preserve">McGee Toyota of Hanover</t>
  </si>
  <si>
    <t xml:space="preserve">Toyota dealership, McGee Automotive Family flagship</t>
  </si>
  <si>
    <t xml:space="preserve">860 Washington St</t>
  </si>
  <si>
    <t xml:space="preserve">(781) 829-0343</t>
  </si>
  <si>
    <t xml:space="preserve">FTC Safeguards Rule applies to dealers. Ask who runs their safeguards program.</t>
  </si>
  <si>
    <t xml:space="preserve">McGee Automotive Family</t>
  </si>
  <si>
    <t xml:space="preserve">mcgeetoyota.com</t>
  </si>
  <si>
    <t xml:space="preserve">Group wide employee count. Group may centralize IT. GM can still open the door.</t>
  </si>
  <si>
    <t xml:space="preserve">Planet Subaru</t>
  </si>
  <si>
    <t xml:space="preserve">Independent Subaru dealership</t>
  </si>
  <si>
    <t xml:space="preserve">596 Washington St</t>
  </si>
  <si>
    <t xml:space="preserve">(781) 826-4444</t>
  </si>
  <si>
    <t xml:space="preserve">Marcel Choiniere (General Manager, Fixed Operations)</t>
  </si>
  <si>
    <t xml:space="preserve">Independent dealer subject to FTC Safeguards. Lead with a safeguards gap review.</t>
  </si>
  <si>
    <t xml:space="preserve">planetsubaru.com</t>
  </si>
  <si>
    <t xml:space="preserve">Independently owned, decision maker on site. Best dealer target on the list.</t>
  </si>
  <si>
    <t xml:space="preserve">Jannell Ford</t>
  </si>
  <si>
    <t xml:space="preserve">Independent Ford dealership</t>
  </si>
  <si>
    <t xml:space="preserve">2000 Washington St</t>
  </si>
  <si>
    <t xml:space="preserve">(781) 982-4500</t>
  </si>
  <si>
    <t xml:space="preserve">Joseph Clapp (Owner)</t>
  </si>
  <si>
    <t xml:space="preserve">Family owned dealer. FTC Safeguards and DMS uptime are the openers.</t>
  </si>
  <si>
    <t xml:space="preserve">jannellford.com</t>
  </si>
  <si>
    <t xml:space="preserve">Employee count understated. Real headcount likely 80 plus.</t>
  </si>
  <si>
    <t xml:space="preserve">H2 West Hanover industrial</t>
  </si>
  <si>
    <t xml:space="preserve">P.A. Landers</t>
  </si>
  <si>
    <t xml:space="preserve">Site development and paving contractor, HQ</t>
  </si>
  <si>
    <t xml:space="preserve">351 Winter St</t>
  </si>
  <si>
    <t xml:space="preserve">(781) 826-8818</t>
  </si>
  <si>
    <t xml:space="preserve">Anthony Emma (Director, Information Technology)</t>
  </si>
  <si>
    <t xml:space="preserve">Joseph Durant (Chief Operating Officer)</t>
  </si>
  <si>
    <t xml:space="preserve">Big contractor, prime wire fraud target. Lead with email security and estimating uptime.</t>
  </si>
  <si>
    <t xml:space="preserve">ACTIVE ACCOUNT</t>
  </si>
  <si>
    <t xml:space="preserve">palanders.com</t>
  </si>
  <si>
    <t xml:space="preserve">One of the biggest private employers based in Hanover. Active 5PT account. Do not cold pitch. Relationship and expansion visit only.</t>
  </si>
  <si>
    <t xml:space="preserve">Buckley Associates</t>
  </si>
  <si>
    <t xml:space="preserve">HVAC equipment distributor and rep, HQ</t>
  </si>
  <si>
    <t xml:space="preserve">385 King St</t>
  </si>
  <si>
    <t xml:space="preserve">(781) 878-5000</t>
  </si>
  <si>
    <t xml:space="preserve">Devin Melo (Manager, Information Technology)</t>
  </si>
  <si>
    <t xml:space="preserve">Robert Buckley (Founder)</t>
  </si>
  <si>
    <t xml:space="preserve">12 locations and near 100M revenue on one ERP. Lead with uptime, security and branch support.</t>
  </si>
  <si>
    <t xml:space="preserve">buckleyonline.com</t>
  </si>
  <si>
    <t xml:space="preserve">Biggest revenue target in Hanover on this list.</t>
  </si>
  <si>
    <t xml:space="preserve">SRC Medical</t>
  </si>
  <si>
    <t xml:space="preserve">Medical device components manufacturer</t>
  </si>
  <si>
    <t xml:space="preserve">263 Winter St</t>
  </si>
  <si>
    <t xml:space="preserve">(781) 826-9100</t>
  </si>
  <si>
    <t xml:space="preserve">Lisa Raasch (Chief Information Officer)</t>
  </si>
  <si>
    <t xml:space="preserve">Roy Tinkham (President)</t>
  </si>
  <si>
    <t xml:space="preserve">FDA documentation and quality systems. Lead with compliance ready IT and uptime.</t>
  </si>
  <si>
    <t xml:space="preserve">srcmedical.com</t>
  </si>
  <si>
    <t xml:space="preserve">Medical manufacturing is a priority vertical.</t>
  </si>
  <si>
    <t xml:space="preserve">Hapco</t>
  </si>
  <si>
    <t xml:space="preserve">Epoxy and urethane polymer manufacturer</t>
  </si>
  <si>
    <t xml:space="preserve">353 Circuit St</t>
  </si>
  <si>
    <t xml:space="preserve">(781) 826-8801</t>
  </si>
  <si>
    <t xml:space="preserve">Daniel McClelland (System Administrator)</t>
  </si>
  <si>
    <t xml:space="preserve">Fred DeSimone (General Manager)</t>
  </si>
  <si>
    <t xml:space="preserve">Formulations IP and production systems. Lead with security and backup.</t>
  </si>
  <si>
    <t xml:space="preserve">hapcoincorporated.com</t>
  </si>
  <si>
    <t xml:space="preserve">Phone corrected from web. ZoomInfo listed an out of state number.</t>
  </si>
  <si>
    <t xml:space="preserve">Gem Gravure</t>
  </si>
  <si>
    <t xml:space="preserve">Wire marking inks and printing systems, HQ</t>
  </si>
  <si>
    <t xml:space="preserve">112 School St</t>
  </si>
  <si>
    <t xml:space="preserve">(781) 878-0456</t>
  </si>
  <si>
    <t xml:space="preserve">Matt Phung (IT Administrator)</t>
  </si>
  <si>
    <t xml:space="preserve">Joseph Gemelli (Founder)</t>
  </si>
  <si>
    <t xml:space="preserve">Third generation manufacturer with global customers. Lead with security and production uptime.</t>
  </si>
  <si>
    <t xml:space="preserve">gemgravure.com</t>
  </si>
  <si>
    <t xml:space="preserve">West Hanover village, near Circuit St loop.</t>
  </si>
  <si>
    <t xml:space="preserve">Cri-Tech (Daikin)</t>
  </si>
  <si>
    <t xml:space="preserve">Specialty rubber compounds manufacturer</t>
  </si>
  <si>
    <t xml:space="preserve">85 Winter St</t>
  </si>
  <si>
    <t xml:space="preserve">(781) 826-5600</t>
  </si>
  <si>
    <t xml:space="preserve">Richard Park (Manager, Business Systems)</t>
  </si>
  <si>
    <t xml:space="preserve">Daikin owned but locally run plant. Lead with co-managed support for site systems.</t>
  </si>
  <si>
    <t xml:space="preserve">Daikin Industries</t>
  </si>
  <si>
    <t xml:space="preserve">critechinc.com</t>
  </si>
  <si>
    <t xml:space="preserve">Corporate IT may exist at Daikin America. Local plant manager still feels the pain.</t>
  </si>
  <si>
    <t xml:space="preserve">A. Murphy Inc</t>
  </si>
  <si>
    <t xml:space="preserve">Site work and utility contractor</t>
  </si>
  <si>
    <t xml:space="preserve">35 Hanover St</t>
  </si>
  <si>
    <t xml:space="preserve">(781) 826-0222</t>
  </si>
  <si>
    <t xml:space="preserve">Michael Murphy (Owner and Operator)</t>
  </si>
  <si>
    <t xml:space="preserve">Field crews and office estimating. Lead with email fraud protection and file backup.</t>
  </si>
  <si>
    <t xml:space="preserve">amurphy.com</t>
  </si>
  <si>
    <t xml:space="preserve">Eyesaver International</t>
  </si>
  <si>
    <t xml:space="preserve">Safety eyewear manufacturer</t>
  </si>
  <si>
    <t xml:space="preserve">348 Circuit St, Ste 2</t>
  </si>
  <si>
    <t xml:space="preserve">(781) 829-0808</t>
  </si>
  <si>
    <t xml:space="preserve">Stephen George (President)</t>
  </si>
  <si>
    <t xml:space="preserve">Product and order systems. Lead with M365 and endpoint management.</t>
  </si>
  <si>
    <t xml:space="preserve">eyesaverinternational.com</t>
  </si>
  <si>
    <t xml:space="preserve">Same building as Sturtevant. Pair the stops.</t>
  </si>
  <si>
    <t xml:space="preserve">Sturtevant</t>
  </si>
  <si>
    <t xml:space="preserve">Micronizing and powder processing equipment</t>
  </si>
  <si>
    <t xml:space="preserve">348 Circuit St, Ste 1</t>
  </si>
  <si>
    <t xml:space="preserve">(781) 829-6501</t>
  </si>
  <si>
    <t xml:space="preserve">Sturt English (President &amp; Chief Executive Officer)</t>
  </si>
  <si>
    <t xml:space="preserve">140 year old machine builder. Lead with modernizing office IT without disrupting the shop.</t>
  </si>
  <si>
    <t xml:space="preserve">sturtevantinc.com</t>
  </si>
  <si>
    <t xml:space="preserve">Same building as Eyesaver International.</t>
  </si>
  <si>
    <t xml:space="preserve">Lubrite Technologies</t>
  </si>
  <si>
    <t xml:space="preserve">Self lubricating bearings manufacturer</t>
  </si>
  <si>
    <t xml:space="preserve">145 Webster St, Ste J</t>
  </si>
  <si>
    <t xml:space="preserve">(781) 871-1420</t>
  </si>
  <si>
    <t xml:space="preserve">Engineering drawings and customer specs. Lead with backup and secure file sharing.</t>
  </si>
  <si>
    <t xml:space="preserve">lubritetechnologies.com</t>
  </si>
  <si>
    <t xml:space="preserve">South Shore YMCA (Emilson Branch / Admin)</t>
  </si>
  <si>
    <t xml:space="preserve">Nonprofit YMCA association</t>
  </si>
  <si>
    <t xml:space="preserve">75 Mill St</t>
  </si>
  <si>
    <t xml:space="preserve">(781) 829-8585</t>
  </si>
  <si>
    <t xml:space="preserve">Multi branch nonprofit with member data and childcare compliance. Lead with co-managed support.</t>
  </si>
  <si>
    <t xml:space="preserve">ssymca.org</t>
  </si>
  <si>
    <t xml:space="preserve">Employee count spans all branches and seasonal camp staff.</t>
  </si>
  <si>
    <t xml:space="preserve">Hingham Moving Services</t>
  </si>
  <si>
    <t xml:space="preserve">Moving and storage company</t>
  </si>
  <si>
    <t xml:space="preserve">285 Circuit St</t>
  </si>
  <si>
    <t xml:space="preserve">(617) 319-7027</t>
  </si>
  <si>
    <t xml:space="preserve">Scheduling, dispatch and customer data. Lead with simple reliable IT and phones.</t>
  </si>
  <si>
    <t xml:space="preserve">hinghammoving.com</t>
  </si>
  <si>
    <t xml:space="preserve">Burgopak USA</t>
  </si>
  <si>
    <t xml:space="preserve">Packaging design firm, US office</t>
  </si>
  <si>
    <t xml:space="preserve">24 Rockland St, Ste 5</t>
  </si>
  <si>
    <t xml:space="preserve">+44 20 7089 1950</t>
  </si>
  <si>
    <t xml:space="preserve">Small US office of a UK firm. Lead with being their local IT presence.</t>
  </si>
  <si>
    <t xml:space="preserve">Burgopak (UK)</t>
  </si>
  <si>
    <t xml:space="preserve">burgopak.com</t>
  </si>
  <si>
    <t xml:space="preserve">Verify before visiting. Phone routes to UK.</t>
  </si>
  <si>
    <t xml:space="preserve">P1 Pembroke corporate parks</t>
  </si>
  <si>
    <t xml:space="preserve">Royal Health Group</t>
  </si>
  <si>
    <t xml:space="preserve">Family owned nursing home group, HQ</t>
  </si>
  <si>
    <t xml:space="preserve">42 Winter St</t>
  </si>
  <si>
    <t xml:space="preserve">Pembroke</t>
  </si>
  <si>
    <t xml:space="preserve">(781) 826-2393</t>
  </si>
  <si>
    <t xml:space="preserve">Jimmy Noel (Manager, Information Technology)</t>
  </si>
  <si>
    <t xml:space="preserve">Pamela Jones (Chief Financial Officer)</t>
  </si>
  <si>
    <t xml:space="preserve">12 facilities of EHR, nurse call and HIPAA. Lead with multi site support and security.</t>
  </si>
  <si>
    <t xml:space="preserve">royalhealthgroup.com</t>
  </si>
  <si>
    <t xml:space="preserve">HQ decides for all facilities. Employee count spans the group.</t>
  </si>
  <si>
    <t xml:space="preserve">02359</t>
  </si>
  <si>
    <t xml:space="preserve">FMC Ice Sports</t>
  </si>
  <si>
    <t xml:space="preserve">Ice rink management company, HQ</t>
  </si>
  <si>
    <t xml:space="preserve">100 Schoosett St, Bldg 3</t>
  </si>
  <si>
    <t xml:space="preserve">(888) 747-5283</t>
  </si>
  <si>
    <t xml:space="preserve">25 rinks on POS, scheduling and payment systems. Lead with multi site support and uptime.</t>
  </si>
  <si>
    <t xml:space="preserve">fmcicesports.com</t>
  </si>
  <si>
    <t xml:space="preserve">HQ office decides for all sites. Strong multi site play.</t>
  </si>
  <si>
    <t xml:space="preserve">Thayer Scale</t>
  </si>
  <si>
    <t xml:space="preserve">Industrial weighing and feeding equipment, HQ</t>
  </si>
  <si>
    <t xml:space="preserve">91 Schoosett St</t>
  </si>
  <si>
    <t xml:space="preserve">(855) 784-2937</t>
  </si>
  <si>
    <t xml:space="preserve">Chris Geer (Information Technology Consultant)</t>
  </si>
  <si>
    <t xml:space="preserve">Frank Hyer (Chairman &amp; Chief Executive Officer)</t>
  </si>
  <si>
    <t xml:space="preserve">Engineering IP and global customers. Lead with security, backup and shop floor uptime.</t>
  </si>
  <si>
    <t xml:space="preserve">thayerscale.com</t>
  </si>
  <si>
    <t xml:space="preserve">Classic ICP manufacturer.</t>
  </si>
  <si>
    <t xml:space="preserve">Nelco Products</t>
  </si>
  <si>
    <t xml:space="preserve">Cable ties and wire management, distribution HQ</t>
  </si>
  <si>
    <t xml:space="preserve">22 Riverside Dr</t>
  </si>
  <si>
    <t xml:space="preserve">(800) 346-3526</t>
  </si>
  <si>
    <t xml:space="preserve">Patrick Wong (Director, Information Technology &amp; Materials)</t>
  </si>
  <si>
    <t xml:space="preserve">Miriam Nelson (Owner)</t>
  </si>
  <si>
    <t xml:space="preserve">E-commerce and warehouse ops. Lead with uptime, EDI reliability and security.</t>
  </si>
  <si>
    <t xml:space="preserve">nelcoproducts.com</t>
  </si>
  <si>
    <t xml:space="preserve">New England Village</t>
  </si>
  <si>
    <t xml:space="preserve">Nonprofit for adults with disabilities</t>
  </si>
  <si>
    <t xml:space="preserve">664 School St</t>
  </si>
  <si>
    <t xml:space="preserve">(781) 293-5461</t>
  </si>
  <si>
    <t xml:space="preserve">Tim McKinney (Manager, Information Technology)</t>
  </si>
  <si>
    <t xml:space="preserve">Christine Chagnon (President &amp; Chief Executive Officer)</t>
  </si>
  <si>
    <t xml:space="preserve">Resident records and lean budgets. Lead with right sized managed IT and HIPAA.</t>
  </si>
  <si>
    <t xml:space="preserve">newenglandvillage.org</t>
  </si>
  <si>
    <t xml:space="preserve">Preferred Mechanical Services</t>
  </si>
  <si>
    <t xml:space="preserve">Mechanical contractor</t>
  </si>
  <si>
    <t xml:space="preserve">223 Center St</t>
  </si>
  <si>
    <t xml:space="preserve">(781) 293-1200</t>
  </si>
  <si>
    <t xml:space="preserve">Jennifer Meade (Founder)</t>
  </si>
  <si>
    <t xml:space="preserve">Field techs and service contracts. Lead with dependable help desk and dispatch uptime.</t>
  </si>
  <si>
    <t xml:space="preserve">preferredmechanicalservices.com</t>
  </si>
  <si>
    <t xml:space="preserve">Your Electrical Solution</t>
  </si>
  <si>
    <t xml:space="preserve">Electrical contractor</t>
  </si>
  <si>
    <t xml:space="preserve">345 Washington St</t>
  </si>
  <si>
    <t xml:space="preserve">(781) 331-3500</t>
  </si>
  <si>
    <t xml:space="preserve">Peter Ockerbloom (Telecom Systems Technician)</t>
  </si>
  <si>
    <t xml:space="preserve">Bruce Sylvester (Owner)</t>
  </si>
  <si>
    <t xml:space="preserve">Growing contractor. Lead with email fraud protection and field device support.</t>
  </si>
  <si>
    <t xml:space="preserve">yourelectricalsolutions.com</t>
  </si>
  <si>
    <t xml:space="preserve">Revenue Solutions (RSI)</t>
  </si>
  <si>
    <t xml:space="preserve">Government tax software company</t>
  </si>
  <si>
    <t xml:space="preserve">42 Winter St, Ste 36</t>
  </si>
  <si>
    <t xml:space="preserve">(781) 826-1546</t>
  </si>
  <si>
    <t xml:space="preserve">Jonathan Epstein (Director, Information Technology)</t>
  </si>
  <si>
    <t xml:space="preserve">Blake Ramsey (President)</t>
  </si>
  <si>
    <t xml:space="preserve">Software firm with government clients and audits. Lead with co-managed security and helpdesk.</t>
  </si>
  <si>
    <t xml:space="preserve">rsidelivers.com</t>
  </si>
  <si>
    <t xml:space="preserve">Same complex as Royal Health Group. Pair the stops.</t>
  </si>
  <si>
    <t xml:space="preserve">Acella Construction</t>
  </si>
  <si>
    <t xml:space="preserve">Commercial general contractor</t>
  </si>
  <si>
    <t xml:space="preserve">38 Washington St</t>
  </si>
  <si>
    <t xml:space="preserve">(781) 681-9240</t>
  </si>
  <si>
    <t xml:space="preserve">Saul Schrader (President)</t>
  </si>
  <si>
    <t xml:space="preserve">50M GC with project data everywhere. Lead with email fraud protection and Procore uptime.</t>
  </si>
  <si>
    <t xml:space="preserve">acellaconstruction.com</t>
  </si>
  <si>
    <t xml:space="preserve">Builds for healthcare and schools locally. Referral rich.</t>
  </si>
  <si>
    <t xml:space="preserve">Ritchie Navigation</t>
  </si>
  <si>
    <t xml:space="preserve">Marine compass manufacturer since 1850</t>
  </si>
  <si>
    <t xml:space="preserve">243 Oak St</t>
  </si>
  <si>
    <t xml:space="preserve">(781) 826-5131</t>
  </si>
  <si>
    <t xml:space="preserve">Jonathan Sherman (President)</t>
  </si>
  <si>
    <t xml:space="preserve">Storied manufacturer. Lead with modern security wrapped around legacy systems.</t>
  </si>
  <si>
    <t xml:space="preserve">ritchienavigation.com</t>
  </si>
  <si>
    <t xml:space="preserve">America's oldest compass maker. Great conversation starter.</t>
  </si>
  <si>
    <t xml:space="preserve">Protectowire FireSystems</t>
  </si>
  <si>
    <t xml:space="preserve">Linear heat detection manufacturer, HQ</t>
  </si>
  <si>
    <t xml:space="preserve">60 Washington St</t>
  </si>
  <si>
    <t xml:space="preserve">(781) 826-3878</t>
  </si>
  <si>
    <t xml:space="preserve">Michael Hall (System Engineer)</t>
  </si>
  <si>
    <t xml:space="preserve">Gerald Holmes (Founder)</t>
  </si>
  <si>
    <t xml:space="preserve">Global OEM with engineering IP. Lead with security and dependable office IT.</t>
  </si>
  <si>
    <t xml:space="preserve">protectowire.com</t>
  </si>
  <si>
    <t xml:space="preserve">FCI Ophthalmics</t>
  </si>
  <si>
    <t xml:space="preserve">Ophthalmic surgical devices, US office</t>
  </si>
  <si>
    <t xml:space="preserve">30 Corporate Park Dr, Ste 310</t>
  </si>
  <si>
    <t xml:space="preserve">(800) 932-4202</t>
  </si>
  <si>
    <t xml:space="preserve">FDA regulated device distribution. Lead with compliance ready IT for a lean office.</t>
  </si>
  <si>
    <t xml:space="preserve">FCI (France)</t>
  </si>
  <si>
    <t xml:space="preserve">fci-ophthalmics.com</t>
  </si>
  <si>
    <t xml:space="preserve">Entegee / The Engineering Department</t>
  </si>
  <si>
    <t xml:space="preserve">Engineering staffing, national HQ (Adecco Group)</t>
  </si>
  <si>
    <t xml:space="preserve">33 Riverside Dr</t>
  </si>
  <si>
    <t xml:space="preserve">(877) 606-8765</t>
  </si>
  <si>
    <t xml:space="preserve">Adecco corporate IT covers them. Networking value with branch leadership only.</t>
  </si>
  <si>
    <t xml:space="preserve">Adecco Group</t>
  </si>
  <si>
    <t xml:space="preserve">entegee.com</t>
  </si>
  <si>
    <t xml:space="preserve">The Engineering Department brand shares this building.</t>
  </si>
  <si>
    <t xml:space="preserve">Horner Millwork</t>
  </si>
  <si>
    <t xml:space="preserve">Millwork and building products, Pembroke branch</t>
  </si>
  <si>
    <t xml:space="preserve">55 Corporate Park Dr, Ste 1</t>
  </si>
  <si>
    <t xml:space="preserve">(781) 826-7770</t>
  </si>
  <si>
    <t xml:space="preserve">Branch of Somerset HQ company. Local relationship can open the corporate door.</t>
  </si>
  <si>
    <t xml:space="preserve">North Atlantic Corp</t>
  </si>
  <si>
    <t xml:space="preserve">hornermillwork.com</t>
  </si>
  <si>
    <t xml:space="preserve">IT likely decided at North Atlantic Corp.</t>
  </si>
  <si>
    <t xml:space="preserve">Markings Inc</t>
  </si>
  <si>
    <t xml:space="preserve">Pavement marking contractor</t>
  </si>
  <si>
    <t xml:space="preserve">30 Riverside Dr</t>
  </si>
  <si>
    <t xml:space="preserve">(781) 826-5171</t>
  </si>
  <si>
    <t xml:space="preserve">Monique Souza (Owner)</t>
  </si>
  <si>
    <t xml:space="preserve">Seasonal field crews and bids. Lead with simple managed IT and email security.</t>
  </si>
  <si>
    <t xml:space="preserve">markingsinc.com</t>
  </si>
  <si>
    <t xml:space="preserve">Peak Mechanical Services</t>
  </si>
  <si>
    <t xml:space="preserve">Commercial HVAC and plumbing contractor</t>
  </si>
  <si>
    <t xml:space="preserve">35 Corporate Park Dr, Ste 2</t>
  </si>
  <si>
    <t xml:space="preserve">(781) 924-5982</t>
  </si>
  <si>
    <t xml:space="preserve">Mario DiMartino (President)</t>
  </si>
  <si>
    <t xml:space="preserve">Dispatch and service software. Lead with help desk for field techs.</t>
  </si>
  <si>
    <t xml:space="preserve">peakmechanicalservices.com</t>
  </si>
  <si>
    <t xml:space="preserve">Charm Medical Supply</t>
  </si>
  <si>
    <t xml:space="preserve">Home medical supplies (DME)</t>
  </si>
  <si>
    <t xml:space="preserve">33 Riverside Dr, Ste 200</t>
  </si>
  <si>
    <t xml:space="preserve">(781) 829-9813</t>
  </si>
  <si>
    <t xml:space="preserve">Wayne Saville (Chief Financial Officer)</t>
  </si>
  <si>
    <t xml:space="preserve">Medicaid billing and PHI. Lead with HIPAA and dependable order systems.</t>
  </si>
  <si>
    <t xml:space="preserve">charmmedical.com</t>
  </si>
  <si>
    <t xml:space="preserve">Same building as Entegee.</t>
  </si>
  <si>
    <t xml:space="preserve">Cadete Enterprises</t>
  </si>
  <si>
    <t xml:space="preserve">Multi unit Dunkin' franchisee office</t>
  </si>
  <si>
    <t xml:space="preserve">12 Riverside Dr</t>
  </si>
  <si>
    <t xml:space="preserve">(781) 829-1156</t>
  </si>
  <si>
    <t xml:space="preserve">Eric Eskander (Chief Executive Officer)</t>
  </si>
  <si>
    <t xml:space="preserve">Dozens of stores on POS and payroll systems. Lead with store uptime and PCI basics.</t>
  </si>
  <si>
    <t xml:space="preserve">cadeteenterprises.com</t>
  </si>
  <si>
    <t xml:space="preserve">Office staff small. Store count is the real footprint.</t>
  </si>
  <si>
    <t xml:space="preserve">JLC Tech</t>
  </si>
  <si>
    <t xml:space="preserve">Architectural LED lighting manufacturer</t>
  </si>
  <si>
    <t xml:space="preserve">370 Corporate Park Dr</t>
  </si>
  <si>
    <t xml:space="preserve">(781) 826-8162</t>
  </si>
  <si>
    <t xml:space="preserve">Mia Antonia (Principal Partner - Chief Financial Officer)</t>
  </si>
  <si>
    <t xml:space="preserve">Design files and order systems. Lead with backup and M365 security.</t>
  </si>
  <si>
    <t xml:space="preserve">jlc-tech.com</t>
  </si>
  <si>
    <t xml:space="preserve">W1 Whitman/Abington/Hanson</t>
  </si>
  <si>
    <t xml:space="preserve">T&amp;K Asphalt Services</t>
  </si>
  <si>
    <t xml:space="preserve">Commercial paving contractor, HQ</t>
  </si>
  <si>
    <t xml:space="preserve">7 Industrial Way</t>
  </si>
  <si>
    <t xml:space="preserve">Whitman</t>
  </si>
  <si>
    <t xml:space="preserve">(781) 826-3138</t>
  </si>
  <si>
    <t xml:space="preserve">Peter Cleary (Chief Financial Officer)</t>
  </si>
  <si>
    <t xml:space="preserve">80M contractor and a top wire fraud target. Lead with email security and estimating uptime.</t>
  </si>
  <si>
    <t xml:space="preserve">tkasphalt.com</t>
  </si>
  <si>
    <t xml:space="preserve">One of the largest paving firms in New England.</t>
  </si>
  <si>
    <t xml:space="preserve">02382</t>
  </si>
  <si>
    <t xml:space="preserve">Cape Cod Lumber</t>
  </si>
  <si>
    <t xml:space="preserve">Independent lumber yard and building products</t>
  </si>
  <si>
    <t xml:space="preserve">225 Groveland St</t>
  </si>
  <si>
    <t xml:space="preserve">Abington</t>
  </si>
  <si>
    <t xml:space="preserve">(781) 878-0715</t>
  </si>
  <si>
    <t xml:space="preserve">Thomas McManus (President)</t>
  </si>
  <si>
    <t xml:space="preserve">POS, inventory and delivery ops on one system. Lead with uptime and ransomware defense.</t>
  </si>
  <si>
    <t xml:space="preserve">capecodlumber.com</t>
  </si>
  <si>
    <t xml:space="preserve">Family owned. Decision makers on site.</t>
  </si>
  <si>
    <t xml:space="preserve">02351</t>
  </si>
  <si>
    <t xml:space="preserve">Southeastern ABA</t>
  </si>
  <si>
    <t xml:space="preserve">116 Helen Dr</t>
  </si>
  <si>
    <t xml:space="preserve">Hanson</t>
  </si>
  <si>
    <t xml:space="preserve">(781) 924-1408</t>
  </si>
  <si>
    <t xml:space="preserve">Fast growing therapy group. Lead with HIPAA, MDM and clinician onboarding speed.</t>
  </si>
  <si>
    <t xml:space="preserve">southeasternaba.com</t>
  </si>
  <si>
    <t xml:space="preserve">02341</t>
  </si>
  <si>
    <t xml:space="preserve">Sullivan's Inc</t>
  </si>
  <si>
    <t xml:space="preserve">Powersports accessories wholesale distributor</t>
  </si>
  <si>
    <t xml:space="preserve">121 Franklin St</t>
  </si>
  <si>
    <t xml:space="preserve">(781) 293-9711</t>
  </si>
  <si>
    <t xml:space="preserve">Bobby Sullivan (Owner and Operator)</t>
  </si>
  <si>
    <t xml:space="preserve">National distribution on EDI and warehouse systems. Lead with uptime and security.</t>
  </si>
  <si>
    <t xml:space="preserve">sullivansusa.com</t>
  </si>
  <si>
    <t xml:space="preserve">Family owned since 1948 era roots. Verified via web.</t>
  </si>
  <si>
    <t xml:space="preserve">Seoane Landscape Design</t>
  </si>
  <si>
    <t xml:space="preserve">Commercial landscape design and construction</t>
  </si>
  <si>
    <t xml:space="preserve">551 Bedford St</t>
  </si>
  <si>
    <t xml:space="preserve">(781) 878-1306</t>
  </si>
  <si>
    <t xml:space="preserve">Louis Seoane (President, Operations &amp; Sales)</t>
  </si>
  <si>
    <t xml:space="preserve">Crews, scheduling and billing. Lead with simple managed IT that keeps trucks rolling.</t>
  </si>
  <si>
    <t xml:space="preserve">seoanelandscape.com</t>
  </si>
  <si>
    <t xml:space="preserve">Whitman Company</t>
  </si>
  <si>
    <t xml:space="preserve">Metal finishing and plating</t>
  </si>
  <si>
    <t xml:space="preserve">356 South Ave</t>
  </si>
  <si>
    <t xml:space="preserve">(781) 447-2422</t>
  </si>
  <si>
    <t xml:space="preserve">William Whitman (President)</t>
  </si>
  <si>
    <t xml:space="preserve">Plating lines and quality certs. Lead with production uptime and simple secure IT.</t>
  </si>
  <si>
    <t xml:space="preserve">whitman-company.com</t>
  </si>
  <si>
    <t xml:space="preserve">Address confirmed via web. ZoomInfo listing was incomplete.</t>
  </si>
  <si>
    <t xml:space="preserve">Defense Investigators Group</t>
  </si>
  <si>
    <t xml:space="preserve">Insurance defense investigations</t>
  </si>
  <si>
    <t xml:space="preserve">PO Box 119 (call ahead)</t>
  </si>
  <si>
    <t xml:space="preserve">(800) 233-0417</t>
  </si>
  <si>
    <t xml:space="preserve">Don Anderson (Owner)</t>
  </si>
  <si>
    <t xml:space="preserve">Sensitive case files and field investigators. Lead with security and secure remote access.</t>
  </si>
  <si>
    <t xml:space="preserve">defenseinvestigatorsgroup.com</t>
  </si>
  <si>
    <t xml:space="preserve">Street address not published. Call before attempting a visit.</t>
  </si>
  <si>
    <t xml:space="preserve">Walsh Mechanical Contractors</t>
  </si>
  <si>
    <t xml:space="preserve">Mechanical contractor since 1918</t>
  </si>
  <si>
    <t xml:space="preserve">380 North Ave</t>
  </si>
  <si>
    <t xml:space="preserve">(781) 871-7496</t>
  </si>
  <si>
    <t xml:space="preserve">Century old contractor. Lead with email fraud protection and dependable office IT.</t>
  </si>
  <si>
    <t xml:space="preserve">walshmechanical.com</t>
  </si>
  <si>
    <t xml:space="preserve">Webster Printing</t>
  </si>
  <si>
    <t xml:space="preserve">Commercial printing</t>
  </si>
  <si>
    <t xml:space="preserve">1069 W Washington St</t>
  </si>
  <si>
    <t xml:space="preserve">(781) 447-5484</t>
  </si>
  <si>
    <t xml:space="preserve">Ernest Foster (President &amp; Chief Executive Officer)</t>
  </si>
  <si>
    <t xml:space="preserve">Prepress files and tight deadlines. Lead with backup and workstation reliability.</t>
  </si>
  <si>
    <t xml:space="preserve">websterprinting.com</t>
  </si>
  <si>
    <t xml:space="preserve">Whitman Tool &amp; Die</t>
  </si>
  <si>
    <t xml:space="preserve">Metal stamping and tooling</t>
  </si>
  <si>
    <t xml:space="preserve">72 Raynor Ave</t>
  </si>
  <si>
    <t xml:space="preserve">(781) 447-0421</t>
  </si>
  <si>
    <t xml:space="preserve">Peter Werthen (Buyer &amp; Owner)</t>
  </si>
  <si>
    <t xml:space="preserve">Job shop with CAD and CNC systems. Ask about CMMC if they touch defense work.</t>
  </si>
  <si>
    <t xml:space="preserve">whitmantoolanddie.com</t>
  </si>
  <si>
    <t xml:space="preserve">President Titanium</t>
  </si>
  <si>
    <t xml:space="preserve">Titanium bar and alloy stock distributor</t>
  </si>
  <si>
    <t xml:space="preserve">243 Franklin St</t>
  </si>
  <si>
    <t xml:space="preserve">(781) 294-0000</t>
  </si>
  <si>
    <t xml:space="preserve">Shawn MacLeod (President)</t>
  </si>
  <si>
    <t xml:space="preserve">Aerospace customers mean traceability. Ask about CMMC and quality system uptime.</t>
  </si>
  <si>
    <t xml:space="preserve">presidenttitanium.com</t>
  </si>
  <si>
    <t xml:space="preserve">Near Sullivan's on Franklin St. Pair the stops.</t>
  </si>
  <si>
    <t xml:space="preserve">Clean Systems of America</t>
  </si>
  <si>
    <t xml:space="preserve">Commercial cleaning company</t>
  </si>
  <si>
    <t xml:space="preserve">162 Industrial Blvd, Ste 4</t>
  </si>
  <si>
    <t xml:space="preserve">(781) 447-5885</t>
  </si>
  <si>
    <t xml:space="preserve">Robert Melchionno (President)</t>
  </si>
  <si>
    <t xml:space="preserve">Big field workforce, small office. Lead with simple managed IT and payroll system uptime.</t>
  </si>
  <si>
    <t xml:space="preserve">clean-systems.com</t>
  </si>
  <si>
    <t xml:space="preserve">Employee count is mostly field cleaning staff.</t>
  </si>
  <si>
    <t xml:space="preserve">Angels Healthcare Companies</t>
  </si>
  <si>
    <t xml:space="preserve">Home health services</t>
  </si>
  <si>
    <t xml:space="preserve">536 Washington St</t>
  </si>
  <si>
    <t xml:space="preserve">(781) 871-3773</t>
  </si>
  <si>
    <t xml:space="preserve">Mazen Eneyni (President)</t>
  </si>
  <si>
    <t xml:space="preserve">PHI on caregiver devices. Lead with HIPAA basics and affordable managed IT.</t>
  </si>
  <si>
    <t xml:space="preserve">angelshealthcare.com</t>
  </si>
  <si>
    <t xml:space="preserve">S1 Weymouth/Hingham/3A coast</t>
  </si>
  <si>
    <t xml:space="preserve">South Shore Bank</t>
  </si>
  <si>
    <t xml:space="preserve">Community bank, main office</t>
  </si>
  <si>
    <t xml:space="preserve">1530 Main St</t>
  </si>
  <si>
    <t xml:space="preserve">Weymouth</t>
  </si>
  <si>
    <t xml:space="preserve">(800) 419-1700</t>
  </si>
  <si>
    <t xml:space="preserve">Lynn Tempesta (Vice President and Information Technology Operations Ma...)</t>
  </si>
  <si>
    <t xml:space="preserve">James Dunphy (President &amp; Chief Executive Officer)</t>
  </si>
  <si>
    <t xml:space="preserve">Exam and vendor management pressure with lean internal IT. Lead with vCISO, compliance alignment and MDR.</t>
  </si>
  <si>
    <t xml:space="preserve">Merging with Dedham Savings</t>
  </si>
  <si>
    <t xml:space="preserve">southshorebank.com</t>
  </si>
  <si>
    <t xml:space="preserve">Merger integration is an IT trigger. Bank flagged as Dedham Savings affiliate.</t>
  </si>
  <si>
    <t xml:space="preserve">02190</t>
  </si>
  <si>
    <t xml:space="preserve">Electroswitch</t>
  </si>
  <si>
    <t xml:space="preserve">Switch and relay manufacturer (utility, defense)</t>
  </si>
  <si>
    <t xml:space="preserve">180 King Ave</t>
  </si>
  <si>
    <t xml:space="preserve">(781) 335-5200</t>
  </si>
  <si>
    <t xml:space="preserve">Karen Roche (Manager, Corporate Information Systems)</t>
  </si>
  <si>
    <t xml:space="preserve">Production uptime and ransomware risk with a small office team. Lead with co-managed IT.</t>
  </si>
  <si>
    <t xml:space="preserve">electroswitch.com</t>
  </si>
  <si>
    <t xml:space="preserve">Defense customers mean a CMMC door opener.</t>
  </si>
  <si>
    <t xml:space="preserve">02188</t>
  </si>
  <si>
    <t xml:space="preserve">Coastal Heritage Bank</t>
  </si>
  <si>
    <t xml:space="preserve">Community bank</t>
  </si>
  <si>
    <t xml:space="preserve">195 Washington St</t>
  </si>
  <si>
    <t xml:space="preserve">(781) 796-6050</t>
  </si>
  <si>
    <t xml:space="preserve">Margaret Ruuska (Vice President, Information Technology &amp; Officer)</t>
  </si>
  <si>
    <t xml:space="preserve">Richard Rowe (Director Chief Executive Officer)</t>
  </si>
  <si>
    <t xml:space="preserve">MountainOne Bank</t>
  </si>
  <si>
    <t xml:space="preserve">coastalheritagebank.com</t>
  </si>
  <si>
    <t xml:space="preserve">Listed as merged into MountainOne. Verify branding before visiting.</t>
  </si>
  <si>
    <t xml:space="preserve">Healthcare South</t>
  </si>
  <si>
    <t xml:space="preserve">Primary care practice group</t>
  </si>
  <si>
    <t xml:space="preserve">223 Chief Justice Cushing Hwy Ste 101</t>
  </si>
  <si>
    <t xml:space="preserve">Cohasset</t>
  </si>
  <si>
    <t xml:space="preserve">(781) 383-6800</t>
  </si>
  <si>
    <t xml:space="preserve">Phillip Joy (Director, Information Technology Operations &amp; Infrastru...)</t>
  </si>
  <si>
    <t xml:space="preserve">PHI and EHR uptime on a lean team. Lead with a HIPAA security risk assessment.</t>
  </si>
  <si>
    <t xml:space="preserve">healthcaresouth.com</t>
  </si>
  <si>
    <t xml:space="preserve">Multi practice group. HIPAA and EHR uptime.</t>
  </si>
  <si>
    <t xml:space="preserve">02025</t>
  </si>
  <si>
    <t xml:space="preserve">Massa Products</t>
  </si>
  <si>
    <t xml:space="preserve">Sonar and ultrasonic transducer manufacturer</t>
  </si>
  <si>
    <t xml:space="preserve">280 Lincoln St</t>
  </si>
  <si>
    <t xml:space="preserve">Hingham</t>
  </si>
  <si>
    <t xml:space="preserve">(781) 749-4800</t>
  </si>
  <si>
    <t xml:space="preserve">James Hall (Senior Software Systems Engineer &amp; Director &amp; Electrica...)</t>
  </si>
  <si>
    <t xml:space="preserve">Donald Massa (Chief Technical Officer &amp; Chairman)</t>
  </si>
  <si>
    <t xml:space="preserve">massa.com</t>
  </si>
  <si>
    <t xml:space="preserve">Defense supplier. Ask about CMMC prep.</t>
  </si>
  <si>
    <t xml:space="preserve">02043</t>
  </si>
  <si>
    <t xml:space="preserve">Hingham Institution for Savings</t>
  </si>
  <si>
    <t xml:space="preserve">Independent bank, HQ</t>
  </si>
  <si>
    <t xml:space="preserve">55 Main St</t>
  </si>
  <si>
    <t xml:space="preserve">(781) 783-1798</t>
  </si>
  <si>
    <t xml:space="preserve">Daniel Bagley (Vice President, Chief Information Officer)</t>
  </si>
  <si>
    <t xml:space="preserve">Patrick Gaughen (President &amp; Chief Operating Officer)</t>
  </si>
  <si>
    <t xml:space="preserve">hinghamsavings.com</t>
  </si>
  <si>
    <t xml:space="preserve">Hingham Lumber</t>
  </si>
  <si>
    <t xml:space="preserve">Independent lumber yard</t>
  </si>
  <si>
    <t xml:space="preserve">165 Chief Justice Cushing Hwy</t>
  </si>
  <si>
    <t xml:space="preserve">(781) 749-4200</t>
  </si>
  <si>
    <t xml:space="preserve">William McNulty (Founder)</t>
  </si>
  <si>
    <t xml:space="preserve">Real office and operations inside the drive zone. Lead with dependable IT and security basics.</t>
  </si>
  <si>
    <t xml:space="preserve">hinghamlumber.com</t>
  </si>
  <si>
    <t xml:space="preserve">Family owned. Same 3A run as Healthcare South.</t>
  </si>
  <si>
    <t xml:space="preserve">Dynavac</t>
  </si>
  <si>
    <t xml:space="preserve">Vacuum chamber systems manufacturer</t>
  </si>
  <si>
    <t xml:space="preserve">110 Industrial Park Rd</t>
  </si>
  <si>
    <t xml:space="preserve">(781) 740-8600</t>
  </si>
  <si>
    <t xml:space="preserve">Joel Smolka (Vice President and General Manager)</t>
  </si>
  <si>
    <t xml:space="preserve">Schunk GmbH</t>
  </si>
  <si>
    <t xml:space="preserve">dynavac.com</t>
  </si>
  <si>
    <t xml:space="preserve">German parent, locally run plant.</t>
  </si>
  <si>
    <t xml:space="preserve">South Shore Orthopedics</t>
  </si>
  <si>
    <t xml:space="preserve">Orthopedic practice</t>
  </si>
  <si>
    <t xml:space="preserve">2 Pond Park Rd Ste 102</t>
  </si>
  <si>
    <t xml:space="preserve">(781) 337-5555</t>
  </si>
  <si>
    <t xml:space="preserve">southshoreorthopedics.com</t>
  </si>
  <si>
    <t xml:space="preserve">AJA International</t>
  </si>
  <si>
    <t xml:space="preserve">Thin film deposition systems manufacturer</t>
  </si>
  <si>
    <t xml:space="preserve">809 Country Way</t>
  </si>
  <si>
    <t xml:space="preserve">Scituate</t>
  </si>
  <si>
    <t xml:space="preserve">(781) 545-7365</t>
  </si>
  <si>
    <t xml:space="preserve">Lin Sandar (System Engineer)</t>
  </si>
  <si>
    <t xml:space="preserve">William Hale (Founder)</t>
  </si>
  <si>
    <t xml:space="preserve">ajaint.com</t>
  </si>
  <si>
    <t xml:space="preserve">World class instrument maker in your home town.</t>
  </si>
  <si>
    <t xml:space="preserve">02066</t>
  </si>
  <si>
    <t xml:space="preserve">Edward G. Sawyer Co.</t>
  </si>
  <si>
    <t xml:space="preserve">Electrical contractor since 1864</t>
  </si>
  <si>
    <t xml:space="preserve">260 Libbey Industrial Pkwy</t>
  </si>
  <si>
    <t xml:space="preserve">(781) 340-1400</t>
  </si>
  <si>
    <t xml:space="preserve">Bryce Bailey (Director, Information Technology)</t>
  </si>
  <si>
    <t xml:space="preserve">Tyrone Sandefur (General Manager)</t>
  </si>
  <si>
    <t xml:space="preserve">Contractors are prime wire fraud targets. Lead with email security and estimating uptime.</t>
  </si>
  <si>
    <t xml:space="preserve">egsawyer.com</t>
  </si>
  <si>
    <t xml:space="preserve">Libbey Industrial Pkwy anchor stop.</t>
  </si>
  <si>
    <t xml:space="preserve">02189</t>
  </si>
  <si>
    <t xml:space="preserve">Harold Brothers Mechanical</t>
  </si>
  <si>
    <t xml:space="preserve">44 Woodrock Rd Ste 1</t>
  </si>
  <si>
    <t xml:space="preserve">(781) 871-2111</t>
  </si>
  <si>
    <t xml:space="preserve">Briyanna Arklein (IT Specialist)</t>
  </si>
  <si>
    <t xml:space="preserve">John Harold (President)</t>
  </si>
  <si>
    <t xml:space="preserve">haroldbros.com</t>
  </si>
  <si>
    <t xml:space="preserve">Harbor Clinical</t>
  </si>
  <si>
    <t xml:space="preserve">Clinical trial services (CRO)</t>
  </si>
  <si>
    <t xml:space="preserve">94 Otis St</t>
  </si>
  <si>
    <t xml:space="preserve">(781) 775-0342</t>
  </si>
  <si>
    <t xml:space="preserve">Ann Conner (President)</t>
  </si>
  <si>
    <t xml:space="preserve">harborclinical.com</t>
  </si>
  <si>
    <t xml:space="preserve">Life sciences services. Compliance heavy, lean IT.</t>
  </si>
  <si>
    <t xml:space="preserve">Wellness Workdays</t>
  </si>
  <si>
    <t xml:space="preserve">Corporate wellness programs</t>
  </si>
  <si>
    <t xml:space="preserve">21 Fottler Rd</t>
  </si>
  <si>
    <t xml:space="preserve">(781) 741-5483</t>
  </si>
  <si>
    <t xml:space="preserve">Debra Wein (Chief Executive Officer &amp; Founder)</t>
  </si>
  <si>
    <t xml:space="preserve">wellnessworkdays.com</t>
  </si>
  <si>
    <t xml:space="preserve">O2X Human Performance</t>
  </si>
  <si>
    <t xml:space="preserve">Human performance training for first responders</t>
  </si>
  <si>
    <t xml:space="preserve">1 Mill Wharf Plz Ste S12</t>
  </si>
  <si>
    <t xml:space="preserve">(781) 902-0304</t>
  </si>
  <si>
    <t xml:space="preserve">Tait Hoglund (Senior Infrastructure Engineer)</t>
  </si>
  <si>
    <t xml:space="preserve">Paul McCullough (President &amp; Co-Founder)</t>
  </si>
  <si>
    <t xml:space="preserve">o2x.com</t>
  </si>
  <si>
    <t xml:space="preserve">Scituate Harbor office. Veteran founded.</t>
  </si>
  <si>
    <t xml:space="preserve">Queen Anne's Nursing Home</t>
  </si>
  <si>
    <t xml:space="preserve">50 Recreation Park Dr</t>
  </si>
  <si>
    <t xml:space="preserve">(781) 749-4982</t>
  </si>
  <si>
    <t xml:space="preserve">queenannenh.com</t>
  </si>
  <si>
    <t xml:space="preserve">McDonald Electric</t>
  </si>
  <si>
    <t xml:space="preserve">72 Sharp St Ste C8</t>
  </si>
  <si>
    <t xml:space="preserve">(781) 340-0008</t>
  </si>
  <si>
    <t xml:space="preserve">Steven Buccigross (Chief Operating Officer)</t>
  </si>
  <si>
    <t xml:space="preserve">mcdonaldcorp.com</t>
  </si>
  <si>
    <t xml:space="preserve">New England Hospice</t>
  </si>
  <si>
    <t xml:space="preserve">Hospice care</t>
  </si>
  <si>
    <t xml:space="preserve">190 Old Derby St Ste 304</t>
  </si>
  <si>
    <t xml:space="preserve">(781) 749-2900</t>
  </si>
  <si>
    <t xml:space="preserve">Gregg Estey (Owner and Administrator)</t>
  </si>
  <si>
    <t xml:space="preserve">newenglandhospice.com</t>
  </si>
  <si>
    <t xml:space="preserve">Hennigan Engineering</t>
  </si>
  <si>
    <t xml:space="preserve">Industrial cleaning and outage services</t>
  </si>
  <si>
    <t xml:space="preserve">55 Industrial Park Rd</t>
  </si>
  <si>
    <t xml:space="preserve">(781) 749-0220</t>
  </si>
  <si>
    <t xml:space="preserve">Conco Services</t>
  </si>
  <si>
    <t xml:space="preserve">henniganengineering.com</t>
  </si>
  <si>
    <t xml:space="preserve">Same street as Dynavac. Pair the stops.</t>
  </si>
  <si>
    <t xml:space="preserve">Hart Supply</t>
  </si>
  <si>
    <t xml:space="preserve">Industrial supply distributor</t>
  </si>
  <si>
    <t xml:space="preserve">50 Pond Park Rd</t>
  </si>
  <si>
    <t xml:space="preserve">(800) 445-6607</t>
  </si>
  <si>
    <t xml:space="preserve">Raymond Hart (Owner)</t>
  </si>
  <si>
    <t xml:space="preserve">Branch and warehouse ops on one ERP. Lead with uptime and ransomware defense.</t>
  </si>
  <si>
    <t xml:space="preserve">hartsupply.com</t>
  </si>
  <si>
    <t xml:space="preserve">Same street as South Shore Orthopedics.</t>
  </si>
  <si>
    <t xml:space="preserve">Boxerbrand</t>
  </si>
  <si>
    <t xml:space="preserve">Menu cover and hospitality products manufacturer</t>
  </si>
  <si>
    <t xml:space="preserve">293 Libbey Industrial Pkwy Ste 500</t>
  </si>
  <si>
    <t xml:space="preserve">(617) 269-8244</t>
  </si>
  <si>
    <t xml:space="preserve">Luis Paniagua (Plant Manager)</t>
  </si>
  <si>
    <t xml:space="preserve">boxerbrand.com</t>
  </si>
  <si>
    <t xml:space="preserve">Same parkway as EG Sawyer.</t>
  </si>
  <si>
    <t xml:space="preserve">Q1 Quincy/Milton</t>
  </si>
  <si>
    <t xml:space="preserve">Bay State Milling</t>
  </si>
  <si>
    <t xml:space="preserve">Flour and grain milling, HQ since 1899</t>
  </si>
  <si>
    <t xml:space="preserve">100 Congress St Ste 2</t>
  </si>
  <si>
    <t xml:space="preserve">Quincy</t>
  </si>
  <si>
    <t xml:space="preserve">(800) 553-5687</t>
  </si>
  <si>
    <t xml:space="preserve">Phillip Murphy (Director, Information Technology &amp; Development)</t>
  </si>
  <si>
    <t xml:space="preserve">Alain Hanna (Chief Financial Officer)</t>
  </si>
  <si>
    <t xml:space="preserve">baystatemilling.com</t>
  </si>
  <si>
    <t xml:space="preserve">HQ office decides for plants nationwide.</t>
  </si>
  <si>
    <t xml:space="preserve">02169</t>
  </si>
  <si>
    <t xml:space="preserve">Manet Community Health Center</t>
  </si>
  <si>
    <t xml:space="preserve">Community health center (FQHC)</t>
  </si>
  <si>
    <t xml:space="preserve">110 W Squantum St Ste 8</t>
  </si>
  <si>
    <t xml:space="preserve">(617) 376-3000</t>
  </si>
  <si>
    <t xml:space="preserve">Kim Shaw (Chief Information Officer)</t>
  </si>
  <si>
    <t xml:space="preserve">Marc Conroy (Chief Financial Officer)</t>
  </si>
  <si>
    <t xml:space="preserve">manetchc.org</t>
  </si>
  <si>
    <t xml:space="preserve">Was on your 2026 target list. Admin office visit, afternoons.</t>
  </si>
  <si>
    <t xml:space="preserve">02171</t>
  </si>
  <si>
    <t xml:space="preserve">Quincy Mutual Group</t>
  </si>
  <si>
    <t xml:space="preserve">Mutual insurance carrier, HQ</t>
  </si>
  <si>
    <t xml:space="preserve">57 Washington St</t>
  </si>
  <si>
    <t xml:space="preserve">(617) 770-5100</t>
  </si>
  <si>
    <t xml:space="preserve">Michael Andrade (Manager, Information Systems)</t>
  </si>
  <si>
    <t xml:space="preserve">Thomas Harris (President &amp; Chief Executive Officer)</t>
  </si>
  <si>
    <t xml:space="preserve">Client PII and audits. Lead with security posture, compliance support and uptime.</t>
  </si>
  <si>
    <t xml:space="preserve">newenglandmutual.com</t>
  </si>
  <si>
    <t xml:space="preserve">XS Brokers</t>
  </si>
  <si>
    <t xml:space="preserve">Wholesale insurance brokerage, HQ</t>
  </si>
  <si>
    <t xml:space="preserve">13 Temple St Fl 1</t>
  </si>
  <si>
    <t xml:space="preserve">(617) 471-7171</t>
  </si>
  <si>
    <t xml:space="preserve">Jason Brudnick (Chief Information Officer)</t>
  </si>
  <si>
    <t xml:space="preserve">Eric Wirkus (Chief Executive Officer)</t>
  </si>
  <si>
    <t xml:space="preserve">xsbrokers.com</t>
  </si>
  <si>
    <t xml:space="preserve">Twin Rivers Technologies</t>
  </si>
  <si>
    <t xml:space="preserve">Oleochemicals manufacturer</t>
  </si>
  <si>
    <t xml:space="preserve">780 Washington St</t>
  </si>
  <si>
    <t xml:space="preserve">(617) 472-9200</t>
  </si>
  <si>
    <t xml:space="preserve">John Piasecki (Director, Information Technology)</t>
  </si>
  <si>
    <t xml:space="preserve">Scott Chatlin (President &amp; Chief Executive Officer)</t>
  </si>
  <si>
    <t xml:space="preserve">FGV Holdings (Malaysia)</t>
  </si>
  <si>
    <t xml:space="preserve">twinriverstechnologies.com</t>
  </si>
  <si>
    <t xml:space="preserve">Named IT director on file. Parent overseas, plant IT local.</t>
  </si>
  <si>
    <t xml:space="preserve">MCMC</t>
  </si>
  <si>
    <t xml:space="preserve">Medical claims review services</t>
  </si>
  <si>
    <t xml:space="preserve">300 Crown Colony Dr Ste 203</t>
  </si>
  <si>
    <t xml:space="preserve">(800) 227-1464</t>
  </si>
  <si>
    <t xml:space="preserve">Louis Pappa (Information Security Officer)</t>
  </si>
  <si>
    <t xml:space="preserve">Mario Corbiciero (President)</t>
  </si>
  <si>
    <t xml:space="preserve">mcmcllc.com</t>
  </si>
  <si>
    <t xml:space="preserve">Crown Colony office park cluster.</t>
  </si>
  <si>
    <t xml:space="preserve">Granite City Electric Supply</t>
  </si>
  <si>
    <t xml:space="preserve">Electrical distributor, HQ</t>
  </si>
  <si>
    <t xml:space="preserve">19 Quincy Ave</t>
  </si>
  <si>
    <t xml:space="preserve">(617) 472-6500</t>
  </si>
  <si>
    <t xml:space="preserve">Lawrence Levesque (Senior Business Systems Analyst)</t>
  </si>
  <si>
    <t xml:space="preserve">Phyllis Godwin (Chairman &amp; Chief Executive Officer)</t>
  </si>
  <si>
    <t xml:space="preserve">granitecityelectric.com</t>
  </si>
  <si>
    <t xml:space="preserve">Lee Kennedy Co.</t>
  </si>
  <si>
    <t xml:space="preserve">122 Quincy Shore Dr</t>
  </si>
  <si>
    <t xml:space="preserve">(617) 825-6930</t>
  </si>
  <si>
    <t xml:space="preserve">Mahmoud Yassine (Director, Management Information Systems)</t>
  </si>
  <si>
    <t xml:space="preserve">Bob O'Leary (President)</t>
  </si>
  <si>
    <t xml:space="preserve">leekennedy.com</t>
  </si>
  <si>
    <t xml:space="preserve">Bay State Community Services</t>
  </si>
  <si>
    <t xml:space="preserve">Behavioral health and community services nonprofit</t>
  </si>
  <si>
    <t xml:space="preserve">1120 Hancock St</t>
  </si>
  <si>
    <t xml:space="preserve">(617) 471-8400</t>
  </si>
  <si>
    <t xml:space="preserve">Daurice Cox (President &amp; Chief Executive Officer)</t>
  </si>
  <si>
    <t xml:space="preserve">baystatecs.org</t>
  </si>
  <si>
    <t xml:space="preserve">Best of Care</t>
  </si>
  <si>
    <t xml:space="preserve">Home care agency</t>
  </si>
  <si>
    <t xml:space="preserve">1250 Hancock St Ste 501S</t>
  </si>
  <si>
    <t xml:space="preserve">(617) 773-5800</t>
  </si>
  <si>
    <t xml:space="preserve">Tyla DiMaria (Owner and President)</t>
  </si>
  <si>
    <t xml:space="preserve">bestofcareinc.com</t>
  </si>
  <si>
    <t xml:space="preserve">1250 Hancock holds Magellan Jets too.</t>
  </si>
  <si>
    <t xml:space="preserve">Housing Management Resources</t>
  </si>
  <si>
    <t xml:space="preserve">500 Victory Rd Ste 5</t>
  </si>
  <si>
    <t xml:space="preserve">(617) 471-0300</t>
  </si>
  <si>
    <t xml:space="preserve">Richard Pierce (Founder and President Emeritus)</t>
  </si>
  <si>
    <t xml:space="preserve">hmrproperties.com</t>
  </si>
  <si>
    <t xml:space="preserve">Same building as Stran.</t>
  </si>
  <si>
    <t xml:space="preserve">South Cove Manor</t>
  </si>
  <si>
    <t xml:space="preserve">Skilled nursing and rehab</t>
  </si>
  <si>
    <t xml:space="preserve">288 Washington St</t>
  </si>
  <si>
    <t xml:space="preserve">(617) 237-3618</t>
  </si>
  <si>
    <t xml:space="preserve">Bill Graves (President &amp; Chief Executive Officer)</t>
  </si>
  <si>
    <t xml:space="preserve">southcovemanor.org</t>
  </si>
  <si>
    <t xml:space="preserve">Dellbrook JKS</t>
  </si>
  <si>
    <t xml:space="preserve">859 Willard St</t>
  </si>
  <si>
    <t xml:space="preserve">(781) 380-1675</t>
  </si>
  <si>
    <t xml:space="preserve">Corren Collura (Director, Information Technology)</t>
  </si>
  <si>
    <t xml:space="preserve">Jim Tracey (Co-President)</t>
  </si>
  <si>
    <t xml:space="preserve">dellbrookjks.com</t>
  </si>
  <si>
    <t xml:space="preserve">Stran &amp; Company</t>
  </si>
  <si>
    <t xml:space="preserve">Promotional products, public company HQ</t>
  </si>
  <si>
    <t xml:space="preserve">500 Victory Rd Ste 301</t>
  </si>
  <si>
    <t xml:space="preserve">(800) 833-3309</t>
  </si>
  <si>
    <t xml:space="preserve">Ian Wall (Chief Information Officer)</t>
  </si>
  <si>
    <t xml:space="preserve">stran.com</t>
  </si>
  <si>
    <t xml:space="preserve">Public company with a named CIO. Marina Bay office.</t>
  </si>
  <si>
    <t xml:space="preserve">J. Calnan &amp; Associates</t>
  </si>
  <si>
    <t xml:space="preserve">Commercial construction manager</t>
  </si>
  <si>
    <t xml:space="preserve">3 Batterymarch Park Fl 5</t>
  </si>
  <si>
    <t xml:space="preserve">(617) 801-0200</t>
  </si>
  <si>
    <t xml:space="preserve">Jay Calnan (Chief Executive Officer)</t>
  </si>
  <si>
    <t xml:space="preserve">jcalnan.com</t>
  </si>
  <si>
    <t xml:space="preserve">Magellan Jets</t>
  </si>
  <si>
    <t xml:space="preserve">Private jet membership company</t>
  </si>
  <si>
    <t xml:space="preserve">1250 Hancock St Ste 802N</t>
  </si>
  <si>
    <t xml:space="preserve">(617) 507-6589</t>
  </si>
  <si>
    <t xml:space="preserve">Michael Vinacco (IT Systems Administrator)</t>
  </si>
  <si>
    <t xml:space="preserve">Anthony Tivnan (President)</t>
  </si>
  <si>
    <t xml:space="preserve">magellanjets.com</t>
  </si>
  <si>
    <t xml:space="preserve">Environmental Partners Group</t>
  </si>
  <si>
    <t xml:space="preserve">Civil and environmental engineering</t>
  </si>
  <si>
    <t xml:space="preserve">1900 Crown Colony Dr Ste 402</t>
  </si>
  <si>
    <t xml:space="preserve">(617) 657-0200</t>
  </si>
  <si>
    <t xml:space="preserve">Robert W Custard (Chief Executive Officer)</t>
  </si>
  <si>
    <t xml:space="preserve">envpartners.com</t>
  </si>
  <si>
    <t xml:space="preserve">Crown Colony cluster with MCMC and Arbella.</t>
  </si>
  <si>
    <t xml:space="preserve">Arbella Insurance</t>
  </si>
  <si>
    <t xml:space="preserve">P&amp;C insurance carrier, HQ</t>
  </si>
  <si>
    <t xml:space="preserve">1100 Crown Colony Dr</t>
  </si>
  <si>
    <t xml:space="preserve">(617) 328-2800</t>
  </si>
  <si>
    <t xml:space="preserve">Matthew Postulka (Chief Information Officer &amp; Vice President, Information...)</t>
  </si>
  <si>
    <t xml:space="preserve">arbella.com</t>
  </si>
  <si>
    <t xml:space="preserve">98 person IT dept with a CIO. Networking and events, not walk-ins.</t>
  </si>
  <si>
    <t xml:space="preserve">Shields Health Care Group</t>
  </si>
  <si>
    <t xml:space="preserve">MRI and imaging network, HQ</t>
  </si>
  <si>
    <t xml:space="preserve">700 Congress St Ste 204</t>
  </si>
  <si>
    <t xml:space="preserve">(800) 258-4674</t>
  </si>
  <si>
    <t xml:space="preserve">Deborah Cafarella (Senior Director, Information Technology Security &amp; Infr...)</t>
  </si>
  <si>
    <t xml:space="preserve">Peter Ferrari (President)</t>
  </si>
  <si>
    <t xml:space="preserve">shields.com</t>
  </si>
  <si>
    <t xml:space="preserve">Real internal IT exists. Co-managed or project pitch only.</t>
  </si>
  <si>
    <t xml:space="preserve">P2 Plymouth/Kingston/Marshfield</t>
  </si>
  <si>
    <t xml:space="preserve">CDF Corporation</t>
  </si>
  <si>
    <t xml:space="preserve">Industrial packaging and liners manufacturer</t>
  </si>
  <si>
    <t xml:space="preserve">77 Industrial Park Rd</t>
  </si>
  <si>
    <t xml:space="preserve">Plymouth</t>
  </si>
  <si>
    <t xml:space="preserve">(800) 443-1920</t>
  </si>
  <si>
    <t xml:space="preserve">Alex Ivkovic (Chief Information Officer)</t>
  </si>
  <si>
    <t xml:space="preserve">Joseph Sullivan (President)</t>
  </si>
  <si>
    <t xml:space="preserve">cdf1.com</t>
  </si>
  <si>
    <t xml:space="preserve">Plymouth Industrial Park anchor.</t>
  </si>
  <si>
    <t xml:space="preserve">02360</t>
  </si>
  <si>
    <t xml:space="preserve">Welch Healthcare &amp; Retirement Group</t>
  </si>
  <si>
    <t xml:space="preserve">Family owned senior living group, HQ</t>
  </si>
  <si>
    <t xml:space="preserve">290 Kingstown Way</t>
  </si>
  <si>
    <t xml:space="preserve">Duxbury</t>
  </si>
  <si>
    <t xml:space="preserve">(781) 585-7136</t>
  </si>
  <si>
    <t xml:space="preserve">welchhrg.com</t>
  </si>
  <si>
    <t xml:space="preserve">HQ decides for all communities. HIPAA and nurse call uptime.</t>
  </si>
  <si>
    <t xml:space="preserve">02332</t>
  </si>
  <si>
    <t xml:space="preserve">Suncor Stainless / Atlantis Rail</t>
  </si>
  <si>
    <t xml:space="preserve">Stainless hardware and railing manufacturer</t>
  </si>
  <si>
    <t xml:space="preserve">70 Armstrong Rd</t>
  </si>
  <si>
    <t xml:space="preserve">(508) 732-9191</t>
  </si>
  <si>
    <t xml:space="preserve">suncorstainless.com</t>
  </si>
  <si>
    <t xml:space="preserve">Two brands, one building. One stop covers both.</t>
  </si>
  <si>
    <t xml:space="preserve">Kirwan Surgical Products</t>
  </si>
  <si>
    <t xml:space="preserve">Surgical instruments manufacturer</t>
  </si>
  <si>
    <t xml:space="preserve">180 Enterprise Dr</t>
  </si>
  <si>
    <t xml:space="preserve">Marshfield</t>
  </si>
  <si>
    <t xml:space="preserve">(781) 834-9500</t>
  </si>
  <si>
    <t xml:space="preserve">Jean Kirwan (Founder)</t>
  </si>
  <si>
    <t xml:space="preserve">ksp.com</t>
  </si>
  <si>
    <t xml:space="preserve">FDA quality system. Enterprise Dr pairs with United Elevator.</t>
  </si>
  <si>
    <t xml:space="preserve">02050</t>
  </si>
  <si>
    <t xml:space="preserve">Vacuum Process Technology</t>
  </si>
  <si>
    <t xml:space="preserve">Vacuum deposition systems manufacturer</t>
  </si>
  <si>
    <t xml:space="preserve">70 Industrial Park Rd</t>
  </si>
  <si>
    <t xml:space="preserve">(508) 732-7200</t>
  </si>
  <si>
    <t xml:space="preserve">Tim Stevenson (Systems Technician)</t>
  </si>
  <si>
    <t xml:space="preserve">Andlinger &amp; Co</t>
  </si>
  <si>
    <t xml:space="preserve">vptec.com</t>
  </si>
  <si>
    <t xml:space="preserve">PE owned, locally run.</t>
  </si>
  <si>
    <t xml:space="preserve">Plymouth Bay Orthopedic</t>
  </si>
  <si>
    <t xml:space="preserve">41 Resnik Rd</t>
  </si>
  <si>
    <t xml:space="preserve">(781) 934-2400</t>
  </si>
  <si>
    <t xml:space="preserve">Scott Oliver (President &amp; Founder)</t>
  </si>
  <si>
    <t xml:space="preserve">pbortho.com</t>
  </si>
  <si>
    <t xml:space="preserve">Tech-Etch</t>
  </si>
  <si>
    <t xml:space="preserve">Precision etched components manufacturer</t>
  </si>
  <si>
    <t xml:space="preserve">45 Aldrin Rd</t>
  </si>
  <si>
    <t xml:space="preserve">(508) 747-0300</t>
  </si>
  <si>
    <t xml:space="preserve">techetch.com</t>
  </si>
  <si>
    <t xml:space="preserve">Large plant, ERP manager on file. Co-managed or project angle.</t>
  </si>
  <si>
    <t xml:space="preserve">LearnWell</t>
  </si>
  <si>
    <t xml:space="preserve">Hospital education services</t>
  </si>
  <si>
    <t xml:space="preserve">2 Main St Ste 2A</t>
  </si>
  <si>
    <t xml:space="preserve">(877) 732-9101</t>
  </si>
  <si>
    <t xml:space="preserve">Jon Pinault (Director, Information Technology)</t>
  </si>
  <si>
    <t xml:space="preserve">Kathleen Egger (Chief Executive Officer)</t>
  </si>
  <si>
    <t xml:space="preserve">learnwell.com</t>
  </si>
  <si>
    <t xml:space="preserve">Downtown Plymouth. Walking distance from 5PT.</t>
  </si>
  <si>
    <t xml:space="preserve">VERC Enterprises</t>
  </si>
  <si>
    <t xml:space="preserve">Convenience store group, HQ</t>
  </si>
  <si>
    <t xml:space="preserve">10 Washington St</t>
  </si>
  <si>
    <t xml:space="preserve">(781) 934-5166</t>
  </si>
  <si>
    <t xml:space="preserve">Hossainnuzzaman Shekhon (Management Information Systems Officer)</t>
  </si>
  <si>
    <t xml:space="preserve">Louis Gottlieb (President)</t>
  </si>
  <si>
    <t xml:space="preserve">vercenterprises.com</t>
  </si>
  <si>
    <t xml:space="preserve">President and MIS officer on file.</t>
  </si>
  <si>
    <t xml:space="preserve">Keville Enterprises</t>
  </si>
  <si>
    <t xml:space="preserve">Construction management and inspection</t>
  </si>
  <si>
    <t xml:space="preserve">475 School St Ste 11</t>
  </si>
  <si>
    <t xml:space="preserve">(781) 837-3884</t>
  </si>
  <si>
    <t xml:space="preserve">Matthew Wilson (Systems Consultant)</t>
  </si>
  <si>
    <t xml:space="preserve">Christine Keville (President &amp; Chief Executive Officer)</t>
  </si>
  <si>
    <t xml:space="preserve">keville.com</t>
  </si>
  <si>
    <t xml:space="preserve">Road to Responsibility</t>
  </si>
  <si>
    <t xml:space="preserve">Disability services nonprofit</t>
  </si>
  <si>
    <t xml:space="preserve">1831 Ocean St</t>
  </si>
  <si>
    <t xml:space="preserve">(781) 834-1300</t>
  </si>
  <si>
    <t xml:space="preserve">Jing Wan (Manager, Information Technology)</t>
  </si>
  <si>
    <t xml:space="preserve">Christopher White (President &amp; Chief Executive Officer)</t>
  </si>
  <si>
    <t xml:space="preserve">Real compliance on a lean budget. Lead with right sized co-managed support.</t>
  </si>
  <si>
    <t xml:space="preserve">roadtoresponsibility.org</t>
  </si>
  <si>
    <t xml:space="preserve">Habilitation Assistance Corp</t>
  </si>
  <si>
    <t xml:space="preserve">434 Court St</t>
  </si>
  <si>
    <t xml:space="preserve">(508) 746-7433</t>
  </si>
  <si>
    <t xml:space="preserve">hac.center</t>
  </si>
  <si>
    <t xml:space="preserve">United Elevator</t>
  </si>
  <si>
    <t xml:space="preserve">Elevator service company</t>
  </si>
  <si>
    <t xml:space="preserve">165 Enterprise Dr</t>
  </si>
  <si>
    <t xml:space="preserve">(781) 740-2440</t>
  </si>
  <si>
    <t xml:space="preserve">Sherry Haskell (President)</t>
  </si>
  <si>
    <t xml:space="preserve">unitedelevatorcorp.com</t>
  </si>
  <si>
    <t xml:space="preserve">Cool Gear International</t>
  </si>
  <si>
    <t xml:space="preserve">Hydration products design, Cordage Park</t>
  </si>
  <si>
    <t xml:space="preserve">10 Cordage Park Cir Ste 212</t>
  </si>
  <si>
    <t xml:space="preserve">(508) 830-3440</t>
  </si>
  <si>
    <t xml:space="preserve">Chris Hoyt (Senior Vice President - General Manager)</t>
  </si>
  <si>
    <t xml:space="preserve">coolgearinc.com</t>
  </si>
  <si>
    <t xml:space="preserve">Industrial Communications</t>
  </si>
  <si>
    <t xml:space="preserve">Two way radio and wireless dealer</t>
  </si>
  <si>
    <t xml:space="preserve">40 Lone St</t>
  </si>
  <si>
    <t xml:space="preserve">(781) 319-1000</t>
  </si>
  <si>
    <t xml:space="preserve">Ed Monahan (Infrastructure Manager)</t>
  </si>
  <si>
    <t xml:space="preserve">Frank Dirico (President)</t>
  </si>
  <si>
    <t xml:space="preserve">induscom.com</t>
  </si>
  <si>
    <t xml:space="preserve">Tech adjacent, referral partner potential too.</t>
  </si>
  <si>
    <t xml:space="preserve">Sheehan Family Companies</t>
  </si>
  <si>
    <t xml:space="preserve">Beer distribution group, corporate HQ</t>
  </si>
  <si>
    <t xml:space="preserve">35 Elder Ave</t>
  </si>
  <si>
    <t xml:space="preserve">Kingston</t>
  </si>
  <si>
    <t xml:space="preserve">(262) 717-2831</t>
  </si>
  <si>
    <t xml:space="preserve">Joe Cugini (Systems Administrator)</t>
  </si>
  <si>
    <t xml:space="preserve">sheehanfamilycompanies.com</t>
  </si>
  <si>
    <t xml:space="preserve">Group IT likely exists. L Knife &amp; Son is the local operation.</t>
  </si>
  <si>
    <t xml:space="preserve">02364</t>
  </si>
  <si>
    <t xml:space="preserve">SmartPak Equine</t>
  </si>
  <si>
    <t xml:space="preserve">Equine e-commerce, Chewy subsidiary</t>
  </si>
  <si>
    <t xml:space="preserve">40 Grissom Rd Ste 100</t>
  </si>
  <si>
    <t xml:space="preserve">(774) 773-1100</t>
  </si>
  <si>
    <t xml:space="preserve">Kim Pierce (IT Project Facilitator)</t>
  </si>
  <si>
    <t xml:space="preserve">Joe Sugden (Chief Operating &amp; Technology Officer)</t>
  </si>
  <si>
    <t xml:space="preserve">Chewy Inc</t>
  </si>
  <si>
    <t xml:space="preserve">smartpakequine.com</t>
  </si>
  <si>
    <t xml:space="preserve">Corporate IT likely at Chewy. COO/CTO named locally.</t>
  </si>
  <si>
    <t xml:space="preserve">Engine Lease Finance</t>
  </si>
  <si>
    <t xml:space="preserve">Aircraft engine leasing, US office</t>
  </si>
  <si>
    <t xml:space="preserve">225 Water St Ste B238</t>
  </si>
  <si>
    <t xml:space="preserve">(508) 830-1722</t>
  </si>
  <si>
    <t xml:space="preserve">Mitsubishi HC Capital</t>
  </si>
  <si>
    <t xml:space="preserve">elfc.com</t>
  </si>
  <si>
    <t xml:space="preserve">IN YOUR BUILDING at 225 Water St. Walk the hallway.</t>
  </si>
  <si>
    <t xml:space="preserve">K1 Brockton/Easton/Rt24</t>
  </si>
  <si>
    <t xml:space="preserve">Double E Group</t>
  </si>
  <si>
    <t xml:space="preserve">Web handling equipment manufacturer, HQ</t>
  </si>
  <si>
    <t xml:space="preserve">319 Manley St</t>
  </si>
  <si>
    <t xml:space="preserve">West Bridgewater</t>
  </si>
  <si>
    <t xml:space="preserve">(508) 588-8099</t>
  </si>
  <si>
    <t xml:space="preserve">Wayne Arensman (IT Support Technician)</t>
  </si>
  <si>
    <t xml:space="preserve">Kyle Willis (President &amp; Chief Operating Officer)</t>
  </si>
  <si>
    <t xml:space="preserve">ee-co.com</t>
  </si>
  <si>
    <t xml:space="preserve">Manley St industrial corridor anchor.</t>
  </si>
  <si>
    <t xml:space="preserve">02379</t>
  </si>
  <si>
    <t xml:space="preserve">North Easton Savings Bank</t>
  </si>
  <si>
    <t xml:space="preserve">Independent savings bank, HQ</t>
  </si>
  <si>
    <t xml:space="preserve">20 Eastman St</t>
  </si>
  <si>
    <t xml:space="preserve">South Easton</t>
  </si>
  <si>
    <t xml:space="preserve">(508) 238-2007</t>
  </si>
  <si>
    <t xml:space="preserve">Elaina Gordon (Director, Information Technology Operations)</t>
  </si>
  <si>
    <t xml:space="preserve">William Morse (President)</t>
  </si>
  <si>
    <t xml:space="preserve">northeastonsavingsbank.com</t>
  </si>
  <si>
    <t xml:space="preserve">02375</t>
  </si>
  <si>
    <t xml:space="preserve">Concord Foods</t>
  </si>
  <si>
    <t xml:space="preserve">Food products manufacturer</t>
  </si>
  <si>
    <t xml:space="preserve">10 Minuteman Way</t>
  </si>
  <si>
    <t xml:space="preserve">Brockton</t>
  </si>
  <si>
    <t xml:space="preserve">(508) 580-1700</t>
  </si>
  <si>
    <t xml:space="preserve">Maureen McLaughlin (System Support)</t>
  </si>
  <si>
    <t xml:space="preserve">Jeff Neville (Founder)</t>
  </si>
  <si>
    <t xml:space="preserve">Sugar Foods Corp</t>
  </si>
  <si>
    <t xml:space="preserve">concordfoods.com</t>
  </si>
  <si>
    <t xml:space="preserve">Parented but plant run locally.</t>
  </si>
  <si>
    <t xml:space="preserve">02301</t>
  </si>
  <si>
    <t xml:space="preserve">REXA</t>
  </si>
  <si>
    <t xml:space="preserve">Electraulic actuator manufacturer</t>
  </si>
  <si>
    <t xml:space="preserve">4 Manley St</t>
  </si>
  <si>
    <t xml:space="preserve">(508) 584-1199</t>
  </si>
  <si>
    <t xml:space="preserve">Lynne Gray (IT Specialist)</t>
  </si>
  <si>
    <t xml:space="preserve">rexa.com</t>
  </si>
  <si>
    <t xml:space="preserve">Same street as Double E and Shawmut.</t>
  </si>
  <si>
    <t xml:space="preserve">Pharmasol</t>
  </si>
  <si>
    <t xml:space="preserve">Contract pharma manufacturer</t>
  </si>
  <si>
    <t xml:space="preserve">1 Norfolk Ave Ste 1</t>
  </si>
  <si>
    <t xml:space="preserve">(508) 238-8501</t>
  </si>
  <si>
    <t xml:space="preserve">Mark Badilla (Manager, Management Information Systems)</t>
  </si>
  <si>
    <t xml:space="preserve">Donghwan Choi (President)</t>
  </si>
  <si>
    <t xml:space="preserve">pharmasol.com</t>
  </si>
  <si>
    <t xml:space="preserve">Norfolk Ave cluster with Reilly, Central Ceilings, Willwork, Averill.</t>
  </si>
  <si>
    <t xml:space="preserve">SCU Credit Union</t>
  </si>
  <si>
    <t xml:space="preserve">1300 Belmont St</t>
  </si>
  <si>
    <t xml:space="preserve">(781) 784-7725</t>
  </si>
  <si>
    <t xml:space="preserve">Paul Pijanowski (Senior VP, Information Security)</t>
  </si>
  <si>
    <t xml:space="preserve">Robert Gustafson (President &amp; Chief Executive Officer)</t>
  </si>
  <si>
    <t xml:space="preserve">scucu.com</t>
  </si>
  <si>
    <t xml:space="preserve">Lyne Laboratories</t>
  </si>
  <si>
    <t xml:space="preserve">Pharmaceutical manufacturer</t>
  </si>
  <si>
    <t xml:space="preserve">10 Burke Dr</t>
  </si>
  <si>
    <t xml:space="preserve">(508) 583-8700</t>
  </si>
  <si>
    <t xml:space="preserve">Stephen Tarallo (President &amp; Chief Executive Officer &amp; Director)</t>
  </si>
  <si>
    <t xml:space="preserve">lyne.com</t>
  </si>
  <si>
    <t xml:space="preserve">FDA site. Compliance ready IT pitch.</t>
  </si>
  <si>
    <t xml:space="preserve">Shawmut Advanced Materials</t>
  </si>
  <si>
    <t xml:space="preserve">Advanced textiles manufacturer</t>
  </si>
  <si>
    <t xml:space="preserve">208 Manley St</t>
  </si>
  <si>
    <t xml:space="preserve">(508) 588-3300</t>
  </si>
  <si>
    <t xml:space="preserve">George Wyner (Chief Information Officer)</t>
  </si>
  <si>
    <t xml:space="preserve">shawmutcorporation.com</t>
  </si>
  <si>
    <t xml:space="preserve">CIO George Wyner on file. Century old family firm.</t>
  </si>
  <si>
    <t xml:space="preserve">Jones &amp; Vining</t>
  </si>
  <si>
    <t xml:space="preserve">Footwear components manufacturer</t>
  </si>
  <si>
    <t xml:space="preserve">1115 W Chestnut St Ste 9</t>
  </si>
  <si>
    <t xml:space="preserve">(508) 232-7470</t>
  </si>
  <si>
    <t xml:space="preserve">Jason Savery (Global Director, Information Technology)</t>
  </si>
  <si>
    <t xml:space="preserve">James Salzano (President &amp; Chief Executive Officer)</t>
  </si>
  <si>
    <t xml:space="preserve">jonesandvining.com</t>
  </si>
  <si>
    <t xml:space="preserve">Brockton Neighborhood Health Center</t>
  </si>
  <si>
    <t xml:space="preserve">63 Main St</t>
  </si>
  <si>
    <t xml:space="preserve">(508) 559-6699</t>
  </si>
  <si>
    <t xml:space="preserve">David Anderson (Chief Information Officer)</t>
  </si>
  <si>
    <t xml:space="preserve">Maria Celli (Chief Executive Officer)</t>
  </si>
  <si>
    <t xml:space="preserve">bnhc.org</t>
  </si>
  <si>
    <t xml:space="preserve">HIPAA and grants. Sysadmin on file.</t>
  </si>
  <si>
    <t xml:space="preserve">Cox Engineering</t>
  </si>
  <si>
    <t xml:space="preserve">Mechanical contractor (HVAC and sheet metal)</t>
  </si>
  <si>
    <t xml:space="preserve">21 Pacella Park Dr</t>
  </si>
  <si>
    <t xml:space="preserve">Randolph</t>
  </si>
  <si>
    <t xml:space="preserve">coxeng.com</t>
  </si>
  <si>
    <t xml:space="preserve">Pacella Park with May Institute.</t>
  </si>
  <si>
    <t xml:space="preserve">02368</t>
  </si>
  <si>
    <t xml:space="preserve">Cheer Pack North America</t>
  </si>
  <si>
    <t xml:space="preserve">Spouted pouch packaging manufacturer</t>
  </si>
  <si>
    <t xml:space="preserve">1 United Dr</t>
  </si>
  <si>
    <t xml:space="preserve">(508) 927-7800</t>
  </si>
  <si>
    <t xml:space="preserve">Jeffrey Ward (Chief Executive Officer)</t>
  </si>
  <si>
    <t xml:space="preserve">cheerpack.com</t>
  </si>
  <si>
    <t xml:space="preserve">Burke Distributing</t>
  </si>
  <si>
    <t xml:space="preserve">Beer distributor</t>
  </si>
  <si>
    <t xml:space="preserve">89 Teed Dr</t>
  </si>
  <si>
    <t xml:space="preserve">(781) 986-6300</t>
  </si>
  <si>
    <t xml:space="preserve">Jeff Ryan (Director, Information Technology &amp; Analytics)</t>
  </si>
  <si>
    <t xml:space="preserve">William Burke (President)</t>
  </si>
  <si>
    <t xml:space="preserve">burkedist.com</t>
  </si>
  <si>
    <t xml:space="preserve">Cervos Medical</t>
  </si>
  <si>
    <t xml:space="preserve">Medical device manufacturer</t>
  </si>
  <si>
    <t xml:space="preserve">30 Doherty Ave</t>
  </si>
  <si>
    <t xml:space="preserve">Avon</t>
  </si>
  <si>
    <t xml:space="preserve">(508) 588-4400</t>
  </si>
  <si>
    <t xml:space="preserve">Emily Rager (Chief Commercial Officer)</t>
  </si>
  <si>
    <t xml:space="preserve">cervos.com</t>
  </si>
  <si>
    <t xml:space="preserve">Avon Industrial Park.</t>
  </si>
  <si>
    <t xml:space="preserve">02322</t>
  </si>
  <si>
    <t xml:space="preserve">GTR Manufacturing</t>
  </si>
  <si>
    <t xml:space="preserve">Precision sheet metal fabricator</t>
  </si>
  <si>
    <t xml:space="preserve">1 Jonathan Dr</t>
  </si>
  <si>
    <t xml:space="preserve">(508) 588-3240</t>
  </si>
  <si>
    <t xml:space="preserve">William Klaila (Owner)</t>
  </si>
  <si>
    <t xml:space="preserve">gtrmfg.com</t>
  </si>
  <si>
    <t xml:space="preserve">Ask about defense work and CMMC.</t>
  </si>
  <si>
    <t xml:space="preserve">Frank I. Rounds</t>
  </si>
  <si>
    <t xml:space="preserve">Boiler and power equipment service</t>
  </si>
  <si>
    <t xml:space="preserve">65 York Ave</t>
  </si>
  <si>
    <t xml:space="preserve">(781) 963-6440</t>
  </si>
  <si>
    <t xml:space="preserve">Mark Ehrenzeller (President)</t>
  </si>
  <si>
    <t xml:space="preserve">frankirounds.com</t>
  </si>
  <si>
    <t xml:space="preserve">Willwork Global Event Services</t>
  </si>
  <si>
    <t xml:space="preserve">Exhibit and event labor services, HQ</t>
  </si>
  <si>
    <t xml:space="preserve">23 Norfolk Ave Ste E</t>
  </si>
  <si>
    <t xml:space="preserve">(508) 230-3170</t>
  </si>
  <si>
    <t xml:space="preserve">willworkinc.com</t>
  </si>
  <si>
    <t xml:space="preserve">Reilly Electrical (RELCO)</t>
  </si>
  <si>
    <t xml:space="preserve">14 Norfolk Ave</t>
  </si>
  <si>
    <t xml:space="preserve">(508) 230-8001</t>
  </si>
  <si>
    <t xml:space="preserve">gorelco.com</t>
  </si>
  <si>
    <t xml:space="preserve">Ruby Wines</t>
  </si>
  <si>
    <t xml:space="preserve">Wine and spirits distributor</t>
  </si>
  <si>
    <t xml:space="preserve">625 Bodwell Street Ext Ste A</t>
  </si>
  <si>
    <t xml:space="preserve">(508) 588-7007</t>
  </si>
  <si>
    <t xml:space="preserve">Matthew Acord (Manager, Information Technology)</t>
  </si>
  <si>
    <t xml:space="preserve">Robert Rubin (President &amp; Chief Executive Officer)</t>
  </si>
  <si>
    <t xml:space="preserve">rubywines.com</t>
  </si>
  <si>
    <t xml:space="preserve">Family owned since 1933. CEO on file.</t>
  </si>
  <si>
    <t xml:space="preserve">Weiss Sheet Metal</t>
  </si>
  <si>
    <t xml:space="preserve">105 Bodwell St</t>
  </si>
  <si>
    <t xml:space="preserve">(508) 583-8300</t>
  </si>
  <si>
    <t xml:space="preserve">Dale Hoffman (General Manager)</t>
  </si>
  <si>
    <t xml:space="preserve">weiss-sheetmetal.com</t>
  </si>
  <si>
    <t xml:space="preserve">Central Ceilings</t>
  </si>
  <si>
    <t xml:space="preserve">Interior systems subcontractor</t>
  </si>
  <si>
    <t xml:space="preserve">36 Norfolk Ave</t>
  </si>
  <si>
    <t xml:space="preserve">(508) 238-6985</t>
  </si>
  <si>
    <t xml:space="preserve">William McPherson (President)</t>
  </si>
  <si>
    <t xml:space="preserve">centralceilings.com</t>
  </si>
  <si>
    <t xml:space="preserve">Aqua-Leisure Recreation</t>
  </si>
  <si>
    <t xml:space="preserve">Recreational products company</t>
  </si>
  <si>
    <t xml:space="preserve">525 Bodwell Street Ext Ste 1</t>
  </si>
  <si>
    <t xml:space="preserve">(508) 587-5401</t>
  </si>
  <si>
    <t xml:space="preserve">Wayne McKinnon (Desktop Support Technician)</t>
  </si>
  <si>
    <t xml:space="preserve">Barry Fireman (President)</t>
  </si>
  <si>
    <t xml:space="preserve">aqualeisure.com</t>
  </si>
  <si>
    <t xml:space="preserve">Equal Exchange</t>
  </si>
  <si>
    <t xml:space="preserve">Fair trade coffee co-op, HQ</t>
  </si>
  <si>
    <t xml:space="preserve">50 United Dr</t>
  </si>
  <si>
    <t xml:space="preserve">(774) 776-7366</t>
  </si>
  <si>
    <t xml:space="preserve">Wayne Kritzman (Computer Help Desk)</t>
  </si>
  <si>
    <t xml:space="preserve">Nicole Vitello (President)</t>
  </si>
  <si>
    <t xml:space="preserve">equalexchange.coop</t>
  </si>
  <si>
    <t xml:space="preserve">Mission driven brand. Same street as Cheer Pack.</t>
  </si>
  <si>
    <t xml:space="preserve">May Institute</t>
  </si>
  <si>
    <t xml:space="preserve">Behavioral health and autism services, HQ</t>
  </si>
  <si>
    <t xml:space="preserve">14 Pacella Park Dr</t>
  </si>
  <si>
    <t xml:space="preserve">(781) 437-1382</t>
  </si>
  <si>
    <t xml:space="preserve">Jace Swenson (Director, Information Technology)</t>
  </si>
  <si>
    <t xml:space="preserve">mayinstitute.org</t>
  </si>
  <si>
    <t xml:space="preserve">Large nonprofit with real IT. Co-managed or project pitch.</t>
  </si>
  <si>
    <t xml:space="preserve">HarborOne Bank</t>
  </si>
  <si>
    <t xml:space="preserve">Bank HQ, being acquired</t>
  </si>
  <si>
    <t xml:space="preserve">68 Legion Pkwy</t>
  </si>
  <si>
    <t xml:space="preserve">Kevin Hamel (Senior Vice President Chief Information Officer)</t>
  </si>
  <si>
    <t xml:space="preserve">Eastern Bank (pending)</t>
  </si>
  <si>
    <t xml:space="preserve">harborone.com</t>
  </si>
  <si>
    <t xml:space="preserve">Acquisition in flight is an IT trigger, but big internal IT. Networking play.</t>
  </si>
  <si>
    <t xml:space="preserve">IPC Lydon</t>
  </si>
  <si>
    <t xml:space="preserve">Industrial contractor</t>
  </si>
  <si>
    <t xml:space="preserve">284 Bodwell St</t>
  </si>
  <si>
    <t xml:space="preserve">(508) 897-1700</t>
  </si>
  <si>
    <t xml:space="preserve">John Burke (President &amp; Chief Executive Officer)</t>
  </si>
  <si>
    <t xml:space="preserve">Jay Cashman Inc</t>
  </si>
  <si>
    <t xml:space="preserve">ipclydon.com</t>
  </si>
  <si>
    <t xml:space="preserve">Bodwell St cluster with Weiss and Ruby Wines.</t>
  </si>
  <si>
    <t xml:space="preserve">B1 Braintree/Canton/Stoughton</t>
  </si>
  <si>
    <t xml:space="preserve">Boston Mutual Life Insurance</t>
  </si>
  <si>
    <t xml:space="preserve">Life insurance carrier, HQ</t>
  </si>
  <si>
    <t xml:space="preserve">120 Royall St</t>
  </si>
  <si>
    <t xml:space="preserve">Canton</t>
  </si>
  <si>
    <t xml:space="preserve">(781) 828-7000</t>
  </si>
  <si>
    <t xml:space="preserve">Tom Kane (CISO &amp; Director, Infrastructure)</t>
  </si>
  <si>
    <t xml:space="preserve">Insurance carrier with a named CISO. Lead with co-managed security depth and audit support.</t>
  </si>
  <si>
    <t xml:space="preserve">bostonmutual.com</t>
  </si>
  <si>
    <t xml:space="preserve">From June postcard list. Email on file: tom.kane@bostonmutual.com.</t>
  </si>
  <si>
    <t xml:space="preserve">02021</t>
  </si>
  <si>
    <t xml:space="preserve">Abington Bank</t>
  </si>
  <si>
    <t xml:space="preserve">95 N Franklin St</t>
  </si>
  <si>
    <t xml:space="preserve">Holbrook</t>
  </si>
  <si>
    <t xml:space="preserve">Michael Fitzgerald (VP, Information Technology)</t>
  </si>
  <si>
    <t xml:space="preserve">Community bank with one IT officer. Lead with exam prep, vCISO and layered security.</t>
  </si>
  <si>
    <t xml:space="preserve">abingtonbank.com</t>
  </si>
  <si>
    <t xml:space="preserve">From postcard list. Contact email on file had a mismatched domain, verify at the door.</t>
  </si>
  <si>
    <t xml:space="preserve">02343</t>
  </si>
  <si>
    <t xml:space="preserve">Franklin Sports</t>
  </si>
  <si>
    <t xml:space="preserve">Sporting goods brand, HQ</t>
  </si>
  <si>
    <t xml:space="preserve">17 Campanelli Pkwy</t>
  </si>
  <si>
    <t xml:space="preserve">Stoughton</t>
  </si>
  <si>
    <t xml:space="preserve">(781) 344-1111</t>
  </si>
  <si>
    <t xml:space="preserve">Iconic consumer brand with e-commerce and EDI. Lead with uptime and security.</t>
  </si>
  <si>
    <t xml:space="preserve">franklinsports.com</t>
  </si>
  <si>
    <t xml:space="preserve">From postcard list.</t>
  </si>
  <si>
    <t xml:space="preserve">02072</t>
  </si>
  <si>
    <t xml:space="preserve">BETA Group</t>
  </si>
  <si>
    <t xml:space="preserve">Civil engineering firm</t>
  </si>
  <si>
    <t xml:space="preserve">315 Norwood Park S, Fl 2</t>
  </si>
  <si>
    <t xml:space="preserve">Norwood</t>
  </si>
  <si>
    <t xml:space="preserve">(781) 255-1982</t>
  </si>
  <si>
    <t xml:space="preserve">Greg Snow (IT Director, sits in Lincoln RI office)</t>
  </si>
  <si>
    <t xml:space="preserve">Mark Gershman (President &amp; CEO)</t>
  </si>
  <si>
    <t xml:space="preserve">Multi office engineering firm. Lead with CAD performance, backup and office to office access.</t>
  </si>
  <si>
    <t xml:space="preserve">beta-inc.com</t>
  </si>
  <si>
    <t xml:space="preserve">From postcard list. Emails on file: mgershman@beta-inc.com, gsnow@beta-inc.com.</t>
  </si>
  <si>
    <t xml:space="preserve">02062</t>
  </si>
  <si>
    <t xml:space="preserve">A&amp;E Fire Protection</t>
  </si>
  <si>
    <t xml:space="preserve">Fire sprinkler contractor</t>
  </si>
  <si>
    <t xml:space="preserve">25 North St</t>
  </si>
  <si>
    <t xml:space="preserve">(781) 828-6900</t>
  </si>
  <si>
    <t xml:space="preserve">Design and field crews on shared systems. Lead with dependable IT and email fraud protection.</t>
  </si>
  <si>
    <t xml:space="preserve">aefireinc.com</t>
  </si>
  <si>
    <t xml:space="preserve">From postcard list. Emails on file for two project managers.</t>
  </si>
  <si>
    <t xml:space="preserve">Channel Fish Processing</t>
  </si>
  <si>
    <t xml:space="preserve">Seafood processor</t>
  </si>
  <si>
    <t xml:space="preserve">200 Commerce Dr</t>
  </si>
  <si>
    <t xml:space="preserve">Braintree</t>
  </si>
  <si>
    <t xml:space="preserve">(617) 464-3366</t>
  </si>
  <si>
    <t xml:space="preserve">Food processor with FDA and HACCP records. Lead with uptime and simple secure IT.</t>
  </si>
  <si>
    <t xml:space="preserve">channelfish.com</t>
  </si>
  <si>
    <t xml:space="preserve">From postcard list. Email on file: steve.a@channelfish.com (VP Sales).</t>
  </si>
  <si>
    <t xml:space="preserve">02184</t>
  </si>
  <si>
    <t xml:space="preserve">ENE Systems</t>
  </si>
  <si>
    <t xml:space="preserve">Building controls and energy systems</t>
  </si>
  <si>
    <t xml:space="preserve">480 Neponset St, Ste 11D</t>
  </si>
  <si>
    <t xml:space="preserve">(781) 828-6770</t>
  </si>
  <si>
    <t xml:space="preserve">Vincent Camillo (Manager, System Support)</t>
  </si>
  <si>
    <t xml:space="preserve">Controls integrator, adjacent trade. Prospect and possible referral partner.</t>
  </si>
  <si>
    <t xml:space="preserve">enesystems.com</t>
  </si>
  <si>
    <t xml:space="preserve">From postcard list. Email on file: vcamillo@enesystems.com.</t>
  </si>
  <si>
    <t xml:space="preserve">F1 Foxboro/Mansfield/495 belt</t>
  </si>
  <si>
    <t xml:space="preserve">Lacerta Group</t>
  </si>
  <si>
    <t xml:space="preserve">Thermoformed packaging manufacturer, HQ</t>
  </si>
  <si>
    <t xml:space="preserve">360 Forbes Blvd</t>
  </si>
  <si>
    <t xml:space="preserve">Mansfield</t>
  </si>
  <si>
    <t xml:space="preserve">(508) 339-3312</t>
  </si>
  <si>
    <t xml:space="preserve">Regis Kouatcho (Business &amp; IT Systems Analyst)</t>
  </si>
  <si>
    <t xml:space="preserve">Ali Lotfi (President)</t>
  </si>
  <si>
    <t xml:space="preserve">lacerta.com</t>
  </si>
  <si>
    <t xml:space="preserve">Forbes Blvd cluster with Proven Process.</t>
  </si>
  <si>
    <t xml:space="preserve">02048</t>
  </si>
  <si>
    <t xml:space="preserve">Senior Metal Bellows</t>
  </si>
  <si>
    <t xml:space="preserve">Aerospace metal bellows manufacturer</t>
  </si>
  <si>
    <t xml:space="preserve">1075 Providence Hwy</t>
  </si>
  <si>
    <t xml:space="preserve">Sharon</t>
  </si>
  <si>
    <t xml:space="preserve">(781) 784-1400</t>
  </si>
  <si>
    <t xml:space="preserve">Bill Gabriel (Manager, Information Technology)</t>
  </si>
  <si>
    <t xml:space="preserve">metalbellows.com</t>
  </si>
  <si>
    <t xml:space="preserve">Defense and aerospace. CMMC door opener.</t>
  </si>
  <si>
    <t xml:space="preserve">02067</t>
  </si>
  <si>
    <t xml:space="preserve">ConnectPay</t>
  </si>
  <si>
    <t xml:space="preserve">Payroll services company, HQ</t>
  </si>
  <si>
    <t xml:space="preserve">10 Lincoln Rd Ste 110</t>
  </si>
  <si>
    <t xml:space="preserve">Foxborough</t>
  </si>
  <si>
    <t xml:space="preserve">(877) 551-0907</t>
  </si>
  <si>
    <t xml:space="preserve">Reema Shetye (IT Agile Project Manager)</t>
  </si>
  <si>
    <t xml:space="preserve">Paul Altavena (Founder &amp; Head President, Connectpay Payroll Services o...)</t>
  </si>
  <si>
    <t xml:space="preserve">connectpayusa.com</t>
  </si>
  <si>
    <t xml:space="preserve">Client payroll data. Security and uptime pitch.</t>
  </si>
  <si>
    <t xml:space="preserve">02035</t>
  </si>
  <si>
    <t xml:space="preserve">CPS Technologies</t>
  </si>
  <si>
    <t xml:space="preserve">Advanced materials manufacturer, public co</t>
  </si>
  <si>
    <t xml:space="preserve">111 S Worcester St</t>
  </si>
  <si>
    <t xml:space="preserve">Norton</t>
  </si>
  <si>
    <t xml:space="preserve">(508) 222-0614</t>
  </si>
  <si>
    <t xml:space="preserve">Yashvant Patel (Desktop Support Hardware Networking Engineer)</t>
  </si>
  <si>
    <t xml:space="preserve">Ashish Desai (Founder)</t>
  </si>
  <si>
    <t xml:space="preserve">cpstechnologysolutions.com</t>
  </si>
  <si>
    <t xml:space="preserve">NASDAQ listed metal matrix composites maker.</t>
  </si>
  <si>
    <t xml:space="preserve">02766</t>
  </si>
  <si>
    <t xml:space="preserve">Proven Process Medical Devices</t>
  </si>
  <si>
    <t xml:space="preserve">Medical device contract manufacturer</t>
  </si>
  <si>
    <t xml:space="preserve">110 Forbes Blvd</t>
  </si>
  <si>
    <t xml:space="preserve">(508) 261-0849</t>
  </si>
  <si>
    <t xml:space="preserve">Anthony Roscoe (Business Owner)</t>
  </si>
  <si>
    <t xml:space="preserve">Arterex</t>
  </si>
  <si>
    <t xml:space="preserve">provenprocess.com</t>
  </si>
  <si>
    <t xml:space="preserve">FDA quality system.</t>
  </si>
  <si>
    <t xml:space="preserve">Acumentrics</t>
  </si>
  <si>
    <t xml:space="preserve">Rugged power systems manufacturer</t>
  </si>
  <si>
    <t xml:space="preserve">10 Walpole Park S</t>
  </si>
  <si>
    <t xml:space="preserve">Walpole</t>
  </si>
  <si>
    <t xml:space="preserve">(617) 932-7877</t>
  </si>
  <si>
    <t xml:space="preserve">Debra King (Vice President, Compliance &amp; Business Systems)</t>
  </si>
  <si>
    <t xml:space="preserve">John Cerulli (Chief Executive Officer)</t>
  </si>
  <si>
    <t xml:space="preserve">acumentrics.com</t>
  </si>
  <si>
    <t xml:space="preserve">Military power systems. CMMC angle.</t>
  </si>
  <si>
    <t xml:space="preserve">02081</t>
  </si>
  <si>
    <t xml:space="preserve">Clinical Science Laboratory</t>
  </si>
  <si>
    <t xml:space="preserve">Clinical laboratory</t>
  </si>
  <si>
    <t xml:space="preserve">51 Francis Ave</t>
  </si>
  <si>
    <t xml:space="preserve">(800) 255-6106</t>
  </si>
  <si>
    <t xml:space="preserve">Lonnie Elfbaum (Chief Financial Officer &amp; Controller)</t>
  </si>
  <si>
    <t xml:space="preserve">clinicalsciencelab.com</t>
  </si>
  <si>
    <t xml:space="preserve">CLIA lab, PHI.</t>
  </si>
  <si>
    <t xml:space="preserve">New England Ice Cream</t>
  </si>
  <si>
    <t xml:space="preserve">Frozen dessert distributor</t>
  </si>
  <si>
    <t xml:space="preserve">222 Mansfield Ave</t>
  </si>
  <si>
    <t xml:space="preserve">(800) 762-1552</t>
  </si>
  <si>
    <t xml:space="preserve">Octavio Bizarro (Director, Information Technology)</t>
  </si>
  <si>
    <t xml:space="preserve">Bruce Ginsberg (Founder &amp; Chief Executive Officer)</t>
  </si>
  <si>
    <t xml:space="preserve">newenglandicecream.com</t>
  </si>
  <si>
    <t xml:space="preserve">Big distribution ops, lean office IT.</t>
  </si>
  <si>
    <t xml:space="preserve">Aero Global Logistics</t>
  </si>
  <si>
    <t xml:space="preserve">Freight and logistics services</t>
  </si>
  <si>
    <t xml:space="preserve">35 Panas Rd</t>
  </si>
  <si>
    <t xml:space="preserve">(888) 498-0476</t>
  </si>
  <si>
    <t xml:space="preserve">aerogloballogistics.com</t>
  </si>
  <si>
    <t xml:space="preserve">Kennedy-Donovan Center</t>
  </si>
  <si>
    <t xml:space="preserve">Human services nonprofit</t>
  </si>
  <si>
    <t xml:space="preserve">1 Commercial St</t>
  </si>
  <si>
    <t xml:space="preserve">(508) 772-1200</t>
  </si>
  <si>
    <t xml:space="preserve">kdc.org</t>
  </si>
  <si>
    <t xml:space="preserve">NexDine Hospitality</t>
  </si>
  <si>
    <t xml:space="preserve">Corporate dining services, HQ</t>
  </si>
  <si>
    <t xml:space="preserve">905b S Main St Ste 203</t>
  </si>
  <si>
    <t xml:space="preserve">(978) 674-8464</t>
  </si>
  <si>
    <t xml:space="preserve">David Lanci (Co-Founder &amp; Chief Executive Officer)</t>
  </si>
  <si>
    <t xml:space="preserve">nexdine.com</t>
  </si>
  <si>
    <t xml:space="preserve">Many client sites, one HQ office.</t>
  </si>
  <si>
    <t xml:space="preserve">Island Oasis</t>
  </si>
  <si>
    <t xml:space="preserve">Beverage products plant</t>
  </si>
  <si>
    <t xml:space="preserve">141 Norfolk St</t>
  </si>
  <si>
    <t xml:space="preserve">(800) 777-4752</t>
  </si>
  <si>
    <t xml:space="preserve">Michael Herbert (President)</t>
  </si>
  <si>
    <t xml:space="preserve">Kerry Group</t>
  </si>
  <si>
    <t xml:space="preserve">islandoasis.com</t>
  </si>
  <si>
    <t xml:space="preserve">Kerry owned plant, local ops team.</t>
  </si>
  <si>
    <t xml:space="preserve">Belknap White Group</t>
  </si>
  <si>
    <t xml:space="preserve">Flooring distributor, HQ</t>
  </si>
  <si>
    <t xml:space="preserve">111 Plymouth St</t>
  </si>
  <si>
    <t xml:space="preserve">(508) 337-2727</t>
  </si>
  <si>
    <t xml:space="preserve">Ed Murphy (Director, Information Technology)</t>
  </si>
  <si>
    <t xml:space="preserve">belknapwhite.com</t>
  </si>
  <si>
    <t xml:space="preserve">Charles River Apparel</t>
  </si>
  <si>
    <t xml:space="preserve">Apparel brand, HQ</t>
  </si>
  <si>
    <t xml:space="preserve">1205 Providence Hwy</t>
  </si>
  <si>
    <t xml:space="preserve">(781) 793-5300</t>
  </si>
  <si>
    <t xml:space="preserve">Renato Paiva (Director, Information Technology)</t>
  </si>
  <si>
    <t xml:space="preserve">Jason Lipsett (President &amp; Chief Executive Officer)</t>
  </si>
  <si>
    <t xml:space="preserve">charlesriverapparel.com</t>
  </si>
  <si>
    <t xml:space="preserve">Same highway as Senior Metal Bellows.</t>
  </si>
  <si>
    <t xml:space="preserve">Accutech Packaging</t>
  </si>
  <si>
    <t xml:space="preserve">Packaging manufacturer</t>
  </si>
  <si>
    <t xml:space="preserve">157 Green St</t>
  </si>
  <si>
    <t xml:space="preserve">(508) 543-3800</t>
  </si>
  <si>
    <t xml:space="preserve">Richard Madigan (Owner)</t>
  </si>
  <si>
    <t xml:space="preserve">accutechpkg.com</t>
  </si>
  <si>
    <t xml:space="preserve">Payton Construction</t>
  </si>
  <si>
    <t xml:space="preserve">124 Washington St Ste 101</t>
  </si>
  <si>
    <t xml:space="preserve">(781) 447-0393</t>
  </si>
  <si>
    <t xml:space="preserve">payton-construction.com</t>
  </si>
  <si>
    <t xml:space="preserve">South Shore Millwork</t>
  </si>
  <si>
    <t xml:space="preserve">Architectural millwork manufacturer</t>
  </si>
  <si>
    <t xml:space="preserve">7 Maple St</t>
  </si>
  <si>
    <t xml:space="preserve">(774) 225-6300</t>
  </si>
  <si>
    <t xml:space="preserve">Peter Marceau (General Manager)</t>
  </si>
  <si>
    <t xml:space="preserve">southshoremillwork.com</t>
  </si>
  <si>
    <t xml:space="preserve">GM Peter Marceau on file.</t>
  </si>
  <si>
    <t xml:space="preserve">Chex Finer Foods</t>
  </si>
  <si>
    <t xml:space="preserve">Specialty food distributor</t>
  </si>
  <si>
    <t xml:space="preserve">71 Hampden Rd Ste 100</t>
  </si>
  <si>
    <t xml:space="preserve">(508) 226-0660</t>
  </si>
  <si>
    <t xml:space="preserve">David Isenberg (Founder)</t>
  </si>
  <si>
    <t xml:space="preserve">chexfoods.com</t>
  </si>
  <si>
    <t xml:space="preserve">HR Knowledge</t>
  </si>
  <si>
    <t xml:space="preserve">HR and payroll outsourcing</t>
  </si>
  <si>
    <t xml:space="preserve">15 Berkshire Rd Ste B</t>
  </si>
  <si>
    <t xml:space="preserve">(508) 339-1300</t>
  </si>
  <si>
    <t xml:space="preserve">Hilb Group</t>
  </si>
  <si>
    <t xml:space="preserve">hrknowledge.com</t>
  </si>
  <si>
    <t xml:space="preserve">Referral partner potential too. They advise hundreds of SMBs.</t>
  </si>
  <si>
    <t xml:space="preserve">eClinical Solutions</t>
  </si>
  <si>
    <t xml:space="preserve">Clinical data software company</t>
  </si>
  <si>
    <t xml:space="preserve">603 West St</t>
  </si>
  <si>
    <t xml:space="preserve">(508) 337-4230</t>
  </si>
  <si>
    <t xml:space="preserve">Scott Thursby (Vice President, Information Technology)</t>
  </si>
  <si>
    <t xml:space="preserve">eclinicalsol.com</t>
  </si>
  <si>
    <t xml:space="preserve">76 person tech org. Co-managed infrastructure pitch only.</t>
  </si>
  <si>
    <t xml:space="preserve">Ferry-Morse / Green Garden</t>
  </si>
  <si>
    <t xml:space="preserve">Seed and gardening products</t>
  </si>
  <si>
    <t xml:space="preserve">202 S Washington St</t>
  </si>
  <si>
    <t xml:space="preserve">(508) 928-4769</t>
  </si>
  <si>
    <t xml:space="preserve">Central Garden &amp; Pet</t>
  </si>
  <si>
    <t xml:space="preserve">ferrymorse.com</t>
  </si>
  <si>
    <t xml:space="preserve">Parent decides IT. Local ops door only.</t>
  </si>
  <si>
    <t xml:space="preserve">American Electrical Testing</t>
  </si>
  <si>
    <t xml:space="preserve">Electrical testing services</t>
  </si>
  <si>
    <t xml:space="preserve">25 Forbes Blvd Unit 1</t>
  </si>
  <si>
    <t xml:space="preserve">(781) 821-0121</t>
  </si>
  <si>
    <t xml:space="preserve">Asplundh</t>
  </si>
  <si>
    <t xml:space="preserve">aetco.us</t>
  </si>
  <si>
    <t xml:space="preserve">Parented. Local branch door.</t>
  </si>
  <si>
    <t xml:space="preserve">X1 Nearby, verify first</t>
  </si>
  <si>
    <t xml:space="preserve">Bay State Physical Therapy</t>
  </si>
  <si>
    <t xml:space="preserve">Physical therapy group, 60+ clinics, HQ</t>
  </si>
  <si>
    <t xml:space="preserve">703 Granite St, Ste 300</t>
  </si>
  <si>
    <t xml:space="preserve">(781) 878-5550</t>
  </si>
  <si>
    <t xml:space="preserve">Jon Dibiasio (Vice President, Information Technology)</t>
  </si>
  <si>
    <t xml:space="preserve">Vladimir Shursky (Owner)</t>
  </si>
  <si>
    <t xml:space="preserve">Dozens of clinics on shared EHR. Lead with multi site support, HIPAA and clinic openings.</t>
  </si>
  <si>
    <t xml:space="preserve">baystatept.com</t>
  </si>
  <si>
    <t xml:space="preserve">HQ moved to Braintree. ZoomInfo still lists 360 Brockton Ave, Abington. 15 min from Rockland.</t>
  </si>
  <si>
    <t xml:space="preserve">Existing accounts: in-person plan</t>
  </si>
  <si>
    <t xml:space="preserve">All 49 accounts from Chris_Accounts__Targets.xlsx, located and bucketed by drive zone. Zone 1 = fold into a drop-off route this month. Zone 2 = book it as a trip. Remote = video cadence.</t>
  </si>
  <si>
    <t xml:space="preserve">City</t>
  </si>
  <si>
    <t xml:space="preserve">ST</t>
  </si>
  <si>
    <t xml:space="preserve">Zone</t>
  </si>
  <si>
    <t xml:space="preserve">Address</t>
  </si>
  <si>
    <t xml:space="preserve">Suggested action</t>
  </si>
  <si>
    <t xml:space="preserve">Active</t>
  </si>
  <si>
    <t xml:space="preserve">Averill Electric Co.</t>
  </si>
  <si>
    <t xml:space="preserve">MA</t>
  </si>
  <si>
    <t xml:space="preserve">Zone 1 · book this month</t>
  </si>
  <si>
    <t xml:space="preserve">28 Norfolk Ave</t>
  </si>
  <si>
    <t xml:space="preserve">(781) 963-3698</t>
  </si>
  <si>
    <t xml:space="preserve">In-person check-in</t>
  </si>
  <si>
    <t xml:space="preserve">20 min out. Pair with W1 or B1 route day.</t>
  </si>
  <si>
    <t xml:space="preserve">P.A. Landers, Inc</t>
  </si>
  <si>
    <t xml:space="preserve">In-person QBR + referral ask</t>
  </si>
  <si>
    <t xml:space="preserve">Also on drop-off list (H2 route). Your flagship local proof story.</t>
  </si>
  <si>
    <t xml:space="preserve">Current (met)</t>
  </si>
  <si>
    <t xml:space="preserve">(781) 792-5000</t>
  </si>
  <si>
    <t xml:space="preserve">In-person next step</t>
  </si>
  <si>
    <t xml:space="preserve">HQ is inside route N1. Turn met into revenue with a co-managed or project ask.</t>
  </si>
  <si>
    <t xml:space="preserve">Cold</t>
  </si>
  <si>
    <t xml:space="preserve">Linchris Hotel Group</t>
  </si>
  <si>
    <t xml:space="preserve">225 Water St Ste A125</t>
  </si>
  <si>
    <t xml:space="preserve">(781) 826-8824</t>
  </si>
  <si>
    <t xml:space="preserve">Walk down the hall</t>
  </si>
  <si>
    <t xml:space="preserve">SAME BUILDING as the 5PT office at 225 Water St. Easiest re-engagement on this sheet.</t>
  </si>
  <si>
    <t xml:space="preserve">Society of Mayflower Descendants</t>
  </si>
  <si>
    <t xml:space="preserve">4 Winslow St (verify)</t>
  </si>
  <si>
    <t xml:space="preserve">Drop by on a Plymouth day</t>
  </si>
  <si>
    <t xml:space="preserve">Home turf nonprofit.</t>
  </si>
  <si>
    <t xml:space="preserve">Past client</t>
  </si>
  <si>
    <t xml:space="preserve">Decatur House Assisted Living</t>
  </si>
  <si>
    <t xml:space="preserve">Sandwich</t>
  </si>
  <si>
    <t xml:space="preserve">(verify address)</t>
  </si>
  <si>
    <t xml:space="preserve">Drop by on a Cape run</t>
  </si>
  <si>
    <t xml:space="preserve">Past client, senior care. Win-back visit.</t>
  </si>
  <si>
    <t xml:space="preserve">Beacon Capital Partners</t>
  </si>
  <si>
    <t xml:space="preserve">Boston</t>
  </si>
  <si>
    <t xml:space="preserve">Zone 2 · day trip</t>
  </si>
  <si>
    <t xml:space="preserve">Book on-site visit</t>
  </si>
  <si>
    <t xml:space="preserve">Edesia Nutrition</t>
  </si>
  <si>
    <t xml:space="preserve">North Kingstown</t>
  </si>
  <si>
    <t xml:space="preserve">RI</t>
  </si>
  <si>
    <t xml:space="preserve">75 min. Mission-driven manufacturer, good story account.</t>
  </si>
  <si>
    <t xml:space="preserve">Jackson Lumber &amp; Millwork</t>
  </si>
  <si>
    <t xml:space="preserve">Lawrence</t>
  </si>
  <si>
    <t xml:space="preserve">John Andrade Insurance</t>
  </si>
  <si>
    <t xml:space="preserve">Bristol</t>
  </si>
  <si>
    <t xml:space="preserve">About an hour. Worth one trip per quarter.</t>
  </si>
  <si>
    <t xml:space="preserve">Mortgage Equity Partners</t>
  </si>
  <si>
    <t xml:space="preserve">Lynnfield</t>
  </si>
  <si>
    <t xml:space="preserve">220 Broadway Ste 205</t>
  </si>
  <si>
    <t xml:space="preserve">(781) 309-1800</t>
  </si>
  <si>
    <t xml:space="preserve">North Shore. Compliance vertical, expansion potential.</t>
  </si>
  <si>
    <t xml:space="preserve">Veristat</t>
  </si>
  <si>
    <t xml:space="preserve">Southborough</t>
  </si>
  <si>
    <t xml:space="preserve">134 Turnpike Rd Ste 200</t>
  </si>
  <si>
    <t xml:space="preserve">(508) 429-7340</t>
  </si>
  <si>
    <t xml:space="preserve">700 person CRO. Biggest active account expansion play.</t>
  </si>
  <si>
    <t xml:space="preserve">Arcadia Funds</t>
  </si>
  <si>
    <t xml:space="preserve">Boston (verify)</t>
  </si>
  <si>
    <t xml:space="preserve">Book meeting</t>
  </si>
  <si>
    <t xml:space="preserve">Bournewood Health Systems</t>
  </si>
  <si>
    <t xml:space="preserve">Brookline</t>
  </si>
  <si>
    <t xml:space="preserve">Behavioral health.</t>
  </si>
  <si>
    <t xml:space="preserve">Creative Office Resources</t>
  </si>
  <si>
    <t xml:space="preserve">Boston (Seaport)</t>
  </si>
  <si>
    <t xml:space="preserve">44 Thomson Pl</t>
  </si>
  <si>
    <t xml:space="preserve">(617) 956-4100</t>
  </si>
  <si>
    <t xml:space="preserve">Book on-site meeting</t>
  </si>
  <si>
    <t xml:space="preserve">LinkSquares</t>
  </si>
  <si>
    <t xml:space="preserve">Replimune</t>
  </si>
  <si>
    <t xml:space="preserve">Woburn</t>
  </si>
  <si>
    <t xml:space="preserve">Also on the prior 100 target list. Warmest biotech door you have.</t>
  </si>
  <si>
    <t xml:space="preserve">Resolute Management</t>
  </si>
  <si>
    <t xml:space="preserve">125 High St Fl 10</t>
  </si>
  <si>
    <t xml:space="preserve">Contact on file: Edward AuCoin, Sr Mgr Business Systems (eaucoin@resolutemgmt.com).</t>
  </si>
  <si>
    <t xml:space="preserve">Sasaki</t>
  </si>
  <si>
    <t xml:space="preserve">Design firm, moved to downtown Boston.</t>
  </si>
  <si>
    <t xml:space="preserve">TriMark USA</t>
  </si>
  <si>
    <t xml:space="preserve">Large foodservice distributor HQ.</t>
  </si>
  <si>
    <t xml:space="preserve">Web Industries</t>
  </si>
  <si>
    <t xml:space="preserve">Marlborough</t>
  </si>
  <si>
    <t xml:space="preserve">Epiphany School</t>
  </si>
  <si>
    <t xml:space="preserve">Boston (Dorchester)</t>
  </si>
  <si>
    <t xml:space="preserve">Book visit</t>
  </si>
  <si>
    <t xml:space="preserve">Private school, budget season matters.</t>
  </si>
  <si>
    <t xml:space="preserve">Lynn Community Health Center</t>
  </si>
  <si>
    <t xml:space="preserve">Lynn</t>
  </si>
  <si>
    <t xml:space="preserve">Also appears on 2026 target list.</t>
  </si>
  <si>
    <t xml:space="preserve">Markley Group</t>
  </si>
  <si>
    <t xml:space="preserve">Data center operator, partner angle too.</t>
  </si>
  <si>
    <t xml:space="preserve">South Boston Community Health Center</t>
  </si>
  <si>
    <t xml:space="preserve">Town of Mansfield</t>
  </si>
  <si>
    <t xml:space="preserve">Municipal, slower cycle.</t>
  </si>
  <si>
    <t xml:space="preserve">AI Media Group</t>
  </si>
  <si>
    <t xml:space="preserve">New York</t>
  </si>
  <si>
    <t xml:space="preserve">NY</t>
  </si>
  <si>
    <t xml:space="preserve">Remote relationship</t>
  </si>
  <si>
    <t xml:space="preserve">Video QBR</t>
  </si>
  <si>
    <t xml:space="preserve">Daigle Oil</t>
  </si>
  <si>
    <t xml:space="preserve">Fort Kent</t>
  </si>
  <si>
    <t xml:space="preserve">ME</t>
  </si>
  <si>
    <t xml:space="preserve">Grace Farms</t>
  </si>
  <si>
    <t xml:space="preserve">New Canaan</t>
  </si>
  <si>
    <t xml:space="preserve">CT</t>
  </si>
  <si>
    <t xml:space="preserve">Quilt Software</t>
  </si>
  <si>
    <t xml:space="preserve">Specialty Lighting Group</t>
  </si>
  <si>
    <t xml:space="preserve">Portland</t>
  </si>
  <si>
    <t xml:space="preserve">Cardiovascular Research Foundation</t>
  </si>
  <si>
    <t xml:space="preserve">Video meeting</t>
  </si>
  <si>
    <t xml:space="preserve">Community Healthlink</t>
  </si>
  <si>
    <t xml:space="preserve">Worcester</t>
  </si>
  <si>
    <t xml:space="preserve">Goldberg Kohn</t>
  </si>
  <si>
    <t xml:space="preserve">Chicago</t>
  </si>
  <si>
    <t xml:space="preserve">IL</t>
  </si>
  <si>
    <t xml:space="preserve">Harvest Partners</t>
  </si>
  <si>
    <t xml:space="preserve">Mirick O'Connell</t>
  </si>
  <si>
    <t xml:space="preserve">Law firm, ICP vertical.</t>
  </si>
  <si>
    <t xml:space="preserve">Numerix</t>
  </si>
  <si>
    <t xml:space="preserve">PGM Global</t>
  </si>
  <si>
    <t xml:space="preserve">Montreal</t>
  </si>
  <si>
    <t xml:space="preserve">QC</t>
  </si>
  <si>
    <t xml:space="preserve">SS&amp;C Technologies</t>
  </si>
  <si>
    <t xml:space="preserve">Windsor</t>
  </si>
  <si>
    <t xml:space="preserve">Value City NJ</t>
  </si>
  <si>
    <t xml:space="preserve">--</t>
  </si>
  <si>
    <t xml:space="preserve">NJ</t>
  </si>
  <si>
    <t xml:space="preserve">Virginia Dare</t>
  </si>
  <si>
    <t xml:space="preserve">Brooklyn</t>
  </si>
  <si>
    <t xml:space="preserve">West Central Behavioral Health</t>
  </si>
  <si>
    <t xml:space="preserve">Lebanon</t>
  </si>
  <si>
    <t xml:space="preserve">NH</t>
  </si>
  <si>
    <t xml:space="preserve">Formstack</t>
  </si>
  <si>
    <t xml:space="preserve">Remote</t>
  </si>
  <si>
    <t xml:space="preserve">Email re-open</t>
  </si>
  <si>
    <t xml:space="preserve">Also listed under past clients.</t>
  </si>
  <si>
    <t xml:space="preserve">IP.com</t>
  </si>
  <si>
    <t xml:space="preserve">(verify)</t>
  </si>
  <si>
    <t xml:space="preserve">MPX</t>
  </si>
  <si>
    <t xml:space="preserve">Identity unclear, verify which MPX before outreach.</t>
  </si>
  <si>
    <t xml:space="preserve">Madison International Realty</t>
  </si>
  <si>
    <t xml:space="preserve">Momenta Pharmaceuticals</t>
  </si>
  <si>
    <t xml:space="preserve">Cambridge</t>
  </si>
  <si>
    <t xml:space="preserve">Drop</t>
  </si>
  <si>
    <t xml:space="preserve">Acquired by J&amp;J in 2020. Likely gone as a standalone.</t>
  </si>
  <si>
    <t xml:space="preserve">Email check-in</t>
  </si>
  <si>
    <t xml:space="preserve">Duplicate of cold list entry.</t>
  </si>
  <si>
    <t xml:space="preserve">Snowbird Agility</t>
  </si>
  <si>
    <t xml:space="preserve">Frederick</t>
  </si>
  <si>
    <t xml:space="preserve">MD</t>
  </si>
  <si>
    <t xml:space="preserve">Your prior 100 targets: are they drop-off material?</t>
  </si>
  <si>
    <t xml:space="preserve">Verdict on each company from the 2026 targeting exercise, judged for in-person drop-offs specifically. A No here is not a dead account. It means the door is email, phone, events, or a booked meeting rather than a walk-in.</t>
  </si>
  <si>
    <t xml:space="preserve">HQ city</t>
  </si>
  <si>
    <t xml:space="preserve">Industry</t>
  </si>
  <si>
    <t xml:space="preserve">Est emp</t>
  </si>
  <si>
    <t xml:space="preserve">Drop-off verdict</t>
  </si>
  <si>
    <t xml:space="preserve">Why / next move</t>
  </si>
  <si>
    <t xml:space="preserve">Globe Composite</t>
  </si>
  <si>
    <t xml:space="preserve">Stoughton, MA</t>
  </si>
  <si>
    <t xml:space="preserve">Defense</t>
  </si>
  <si>
    <t xml:space="preserve">~100</t>
  </si>
  <si>
    <t xml:space="preserve">DROP-OFF: YES</t>
  </si>
  <si>
    <t xml:space="preserve">Stoughton, 20 min. Defense manufacturer, CMMC door opener. Pair with B1 route.</t>
  </si>
  <si>
    <t xml:space="preserve">IDRx</t>
  </si>
  <si>
    <t xml:space="preserve">Plymouth, MA</t>
  </si>
  <si>
    <t xml:space="preserve">Biotech</t>
  </si>
  <si>
    <t xml:space="preserve">~60</t>
  </si>
  <si>
    <t xml:space="preserve">Plymouth, home turf. Small biotech office, low ceremony. Easy relationship stop.</t>
  </si>
  <si>
    <t xml:space="preserve">Manet Comm. Health</t>
  </si>
  <si>
    <t xml:space="preserve">Quincy, MA</t>
  </si>
  <si>
    <t xml:space="preserve">Healthcare</t>
  </si>
  <si>
    <t xml:space="preserve">~200</t>
  </si>
  <si>
    <t xml:space="preserve">Quincy health center. Visit the administrative office mid afternoon.</t>
  </si>
  <si>
    <t xml:space="preserve">Russelectric</t>
  </si>
  <si>
    <t xml:space="preserve">Hingham, MA</t>
  </si>
  <si>
    <t xml:space="preserve">Manufacturing</t>
  </si>
  <si>
    <t xml:space="preserve">~400</t>
  </si>
  <si>
    <t xml:space="preserve">Hingham, 10 min out. Manufacturer with a real front office. Add to a Norwell route day.</t>
  </si>
  <si>
    <t xml:space="preserve">Rockland, MA</t>
  </si>
  <si>
    <t xml:space="preserve">Consumer Mfg</t>
  </si>
  <si>
    <t xml:space="preserve">~180</t>
  </si>
  <si>
    <t xml:space="preserve">Rockland. Already Tier A on the drop-off list. Merge outreach history first.</t>
  </si>
  <si>
    <t xml:space="preserve">Dimock Center</t>
  </si>
  <si>
    <t xml:space="preserve">Roxbury, MA</t>
  </si>
  <si>
    <t xml:space="preserve">~300</t>
  </si>
  <si>
    <t xml:space="preserve">DROP-OFF: MAYBE</t>
  </si>
  <si>
    <t xml:space="preserve">Roxbury campus. Health center admin office may take a visit. Call first.</t>
  </si>
  <si>
    <t xml:space="preserve">Harpoon Brewery</t>
  </si>
  <si>
    <t xml:space="preserve">Boston, MA</t>
  </si>
  <si>
    <t xml:space="preserve">Food &amp; Bev</t>
  </si>
  <si>
    <t xml:space="preserve">Seaport. Public taproom makes a creative drop possible, but corporate decides.</t>
  </si>
  <si>
    <t xml:space="preserve">Hydroid</t>
  </si>
  <si>
    <t xml:space="preserve">Pocasset, MA</t>
  </si>
  <si>
    <t xml:space="preserve">Robotics</t>
  </si>
  <si>
    <t xml:space="preserve">Pocasset, 45 min. HII owned, badge likely. Try once when on a Cape run.</t>
  </si>
  <si>
    <t xml:space="preserve">Instron</t>
  </si>
  <si>
    <t xml:space="preserve">Norwood, MA</t>
  </si>
  <si>
    <t xml:space="preserve">Mfg / Tech</t>
  </si>
  <si>
    <t xml:space="preserve">Norwood, 30 min, but ITW owned. Corporate IT likely. Worth one lobby attempt off the B1 route.</t>
  </si>
  <si>
    <t xml:space="preserve">Tegra Medical</t>
  </si>
  <si>
    <t xml:space="preserve">Franklin, MA</t>
  </si>
  <si>
    <t xml:space="preserve">Med Device</t>
  </si>
  <si>
    <t xml:space="preserve">Franklin, 45 min. SFS owned. Lobby attempt only if passing.</t>
  </si>
  <si>
    <t xml:space="preserve">1910 Genetics</t>
  </si>
  <si>
    <t xml:space="preserve">AI / Biotech</t>
  </si>
  <si>
    <t xml:space="preserve">~80</t>
  </si>
  <si>
    <t xml:space="preserve">No. Badge access metro</t>
  </si>
  <si>
    <t xml:space="preserve">Boston or Cambridge office building. In-person means events and booked meetings, not walk-ins.</t>
  </si>
  <si>
    <t xml:space="preserve">6 River Systems</t>
  </si>
  <si>
    <t xml:space="preserve">Waltham, MA</t>
  </si>
  <si>
    <t xml:space="preserve">Boston or Cambridge office building. In-person means events and booked meetings, not walk-ins. Wound down after the Ocado deal. Verify before spending any effort.</t>
  </si>
  <si>
    <t xml:space="preserve">Abacus Insights</t>
  </si>
  <si>
    <t xml:space="preserve">AI / Data</t>
  </si>
  <si>
    <t xml:space="preserve">~150</t>
  </si>
  <si>
    <t xml:space="preserve">Activ Surgical</t>
  </si>
  <si>
    <t xml:space="preserve">AI / Robotics</t>
  </si>
  <si>
    <t xml:space="preserve">Aktis Oncology</t>
  </si>
  <si>
    <t xml:space="preserve">Alpha-9 Oncology</t>
  </si>
  <si>
    <t xml:space="preserve">Beam Therapeutics</t>
  </si>
  <si>
    <t xml:space="preserve">Cambridge, MA</t>
  </si>
  <si>
    <t xml:space="preserve">~450</t>
  </si>
  <si>
    <t xml:space="preserve">Boston or Cambridge office building. In-person means events and booked meetings, not walk-ins. IT contact on file from postcard pull: Matthew Lopes, Sr Mgr IT Business Partnership (mlopes@beamtx.com).</t>
  </si>
  <si>
    <t xml:space="preserve">Cardurion Pharma</t>
  </si>
  <si>
    <t xml:space="preserve">Burlington, MA</t>
  </si>
  <si>
    <t xml:space="preserve">Causaly</t>
  </si>
  <si>
    <t xml:space="preserve">AI / Bio</t>
  </si>
  <si>
    <t xml:space="preserve">Centessa Pharma</t>
  </si>
  <si>
    <t xml:space="preserve">City Therapeutics</t>
  </si>
  <si>
    <t xml:space="preserve">Code Metal</t>
  </si>
  <si>
    <t xml:space="preserve">AI / Hardware</t>
  </si>
  <si>
    <t xml:space="preserve">~50</t>
  </si>
  <si>
    <t xml:space="preserve">Cohere Health</t>
  </si>
  <si>
    <t xml:space="preserve">AI / Health</t>
  </si>
  <si>
    <t xml:space="preserve">Decagon</t>
  </si>
  <si>
    <t xml:space="preserve">AI</t>
  </si>
  <si>
    <t xml:space="preserve">Desktop Metal</t>
  </si>
  <si>
    <t xml:space="preserve">Eleos Health</t>
  </si>
  <si>
    <t xml:space="preserve">AI / Mental</t>
  </si>
  <si>
    <t xml:space="preserve">Fenway Health</t>
  </si>
  <si>
    <t xml:space="preserve">~500</t>
  </si>
  <si>
    <t xml:space="preserve">Form Energy</t>
  </si>
  <si>
    <t xml:space="preserve">Somerville, MA</t>
  </si>
  <si>
    <t xml:space="preserve">CleanTech</t>
  </si>
  <si>
    <t xml:space="preserve">~600</t>
  </si>
  <si>
    <t xml:space="preserve">Formlabs</t>
  </si>
  <si>
    <t xml:space="preserve">Goulston &amp; Storrs</t>
  </si>
  <si>
    <t xml:space="preserve">Law Firm</t>
  </si>
  <si>
    <t xml:space="preserve">Harmonic</t>
  </si>
  <si>
    <t xml:space="preserve">AI / Math</t>
  </si>
  <si>
    <t xml:space="preserve">~40</t>
  </si>
  <si>
    <t xml:space="preserve">Hi Marley</t>
  </si>
  <si>
    <t xml:space="preserve">InsurTech</t>
  </si>
  <si>
    <t xml:space="preserve">Hydrow</t>
  </si>
  <si>
    <t xml:space="preserve">Consumer Tech</t>
  </si>
  <si>
    <t xml:space="preserve">~250</t>
  </si>
  <si>
    <t xml:space="preserve">Immuta</t>
  </si>
  <si>
    <t xml:space="preserve">AI / Security</t>
  </si>
  <si>
    <t xml:space="preserve">Inari Agriculture</t>
  </si>
  <si>
    <t xml:space="preserve">AgTech</t>
  </si>
  <si>
    <t xml:space="preserve">Indico Data</t>
  </si>
  <si>
    <t xml:space="preserve">AI / Software</t>
  </si>
  <si>
    <t xml:space="preserve">Kailera Therapeutics</t>
  </si>
  <si>
    <t xml:space="preserve">~125</t>
  </si>
  <si>
    <t xml:space="preserve">Karyopharm</t>
  </si>
  <si>
    <t xml:space="preserve">Newton, MA</t>
  </si>
  <si>
    <t xml:space="preserve">~350</t>
  </si>
  <si>
    <t xml:space="preserve">Kiniksa Pharma</t>
  </si>
  <si>
    <t xml:space="preserve">Lexington, MA</t>
  </si>
  <si>
    <t xml:space="preserve">Kyruus</t>
  </si>
  <si>
    <t xml:space="preserve">HealthTech</t>
  </si>
  <si>
    <t xml:space="preserve">Ledgebrook</t>
  </si>
  <si>
    <t xml:space="preserve">Lightmatter</t>
  </si>
  <si>
    <t xml:space="preserve">Liquid AI</t>
  </si>
  <si>
    <t xml:space="preserve">AI / DeepTech</t>
  </si>
  <si>
    <t xml:space="preserve">Locus Robotics</t>
  </si>
  <si>
    <t xml:space="preserve">Wilmington, MA</t>
  </si>
  <si>
    <t xml:space="preserve">~480</t>
  </si>
  <si>
    <t xml:space="preserve">Markforged</t>
  </si>
  <si>
    <t xml:space="preserve">Watertown, MA</t>
  </si>
  <si>
    <t xml:space="preserve">Mintz</t>
  </si>
  <si>
    <t xml:space="preserve">~1,200</t>
  </si>
  <si>
    <t xml:space="preserve">OpenEvidence</t>
  </si>
  <si>
    <t xml:space="preserve">PathAI</t>
  </si>
  <si>
    <t xml:space="preserve">Piaggio Fast Fwd</t>
  </si>
  <si>
    <t xml:space="preserve">Relay Therapeutics</t>
  </si>
  <si>
    <t xml:space="preserve">Boston or Cambridge office building. In-person means events and booked meetings, not walk-ins. Named DM from your research: Daryn Berger, Sr Dir Head of IT.</t>
  </si>
  <si>
    <t xml:space="preserve">Remix Therapeutics</t>
  </si>
  <si>
    <t xml:space="preserve">Woburn, MA</t>
  </si>
  <si>
    <t xml:space="preserve">Boston or Cambridge office building. In-person means events and booked meetings, not walk-ins. Already a current account (met, no revenue). Book a meeting, do not cold visit.</t>
  </si>
  <si>
    <t xml:space="preserve">Rhino Federated</t>
  </si>
  <si>
    <t xml:space="preserve">AI / Privacy</t>
  </si>
  <si>
    <t xml:space="preserve">Rhythm Pharmaceuticals</t>
  </si>
  <si>
    <t xml:space="preserve">RightHand Robotics</t>
  </si>
  <si>
    <t xml:space="preserve">Scholar Rock</t>
  </si>
  <si>
    <t xml:space="preserve">~330</t>
  </si>
  <si>
    <t xml:space="preserve">Scorpion Therapeutics</t>
  </si>
  <si>
    <t xml:space="preserve">Seaport Therapeutics</t>
  </si>
  <si>
    <t xml:space="preserve">Soft Robotics</t>
  </si>
  <si>
    <t xml:space="preserve">Bedford, MA</t>
  </si>
  <si>
    <t xml:space="preserve">Solu Therapeutics</t>
  </si>
  <si>
    <t xml:space="preserve">Biotech / AI</t>
  </si>
  <si>
    <t xml:space="preserve">Somite</t>
  </si>
  <si>
    <t xml:space="preserve">Spero Therapeutics</t>
  </si>
  <si>
    <t xml:space="preserve">Summit Partners</t>
  </si>
  <si>
    <t xml:space="preserve">PE / VC</t>
  </si>
  <si>
    <t xml:space="preserve">Suno</t>
  </si>
  <si>
    <t xml:space="preserve">GenAI / Audio</t>
  </si>
  <si>
    <t xml:space="preserve">Superluminal Medicines</t>
  </si>
  <si>
    <t xml:space="preserve">Symbotic</t>
  </si>
  <si>
    <t xml:space="preserve">Tessera Therapeutics</t>
  </si>
  <si>
    <t xml:space="preserve">Tracksmith</t>
  </si>
  <si>
    <t xml:space="preserve">Retail</t>
  </si>
  <si>
    <t xml:space="preserve">Treeline Biosciences</t>
  </si>
  <si>
    <t xml:space="preserve">Upstream Bio</t>
  </si>
  <si>
    <t xml:space="preserve">VODA.ai</t>
  </si>
  <si>
    <t xml:space="preserve">AI / Utility</t>
  </si>
  <si>
    <t xml:space="preserve">WHOOP</t>
  </si>
  <si>
    <t xml:space="preserve">Tech</t>
  </si>
  <si>
    <t xml:space="preserve">Wellframe</t>
  </si>
  <si>
    <t xml:space="preserve">X4 Pharmaceuticals</t>
  </si>
  <si>
    <t xml:space="preserve">Zenas BioPharma</t>
  </si>
  <si>
    <t xml:space="preserve">~120</t>
  </si>
  <si>
    <t xml:space="preserve">Zifino</t>
  </si>
  <si>
    <t xml:space="preserve">Security</t>
  </si>
  <si>
    <t xml:space="preserve">~30</t>
  </si>
  <si>
    <t xml:space="preserve">eGenesis</t>
  </si>
  <si>
    <t xml:space="preserve">6K Inc.</t>
  </si>
  <si>
    <t xml:space="preserve">N. Andover, MA</t>
  </si>
  <si>
    <t xml:space="preserve">No. Too far for routes</t>
  </si>
  <si>
    <t xml:space="preserve">N. Andover. 50 plus minutes. Email, call, or event motion.</t>
  </si>
  <si>
    <t xml:space="preserve">Gemline</t>
  </si>
  <si>
    <t xml:space="preserve">Lawrence, MA</t>
  </si>
  <si>
    <t xml:space="preserve">Lawrence. 50 plus minutes. Email, call, or event motion.</t>
  </si>
  <si>
    <t xml:space="preserve">Lowell Comm. Health</t>
  </si>
  <si>
    <t xml:space="preserve">Lowell, MA</t>
  </si>
  <si>
    <t xml:space="preserve">Lowell. 50 plus minutes. Email, call, or event motion.</t>
  </si>
  <si>
    <t xml:space="preserve">Lynn Comm. Health</t>
  </si>
  <si>
    <t xml:space="preserve">Lynn, MA</t>
  </si>
  <si>
    <t xml:space="preserve">Lynn. 50 plus minutes. Email, call, or event motion. Also on your cold account list. Re-open warm.</t>
  </si>
  <si>
    <t xml:space="preserve">Northeast Hospital</t>
  </si>
  <si>
    <t xml:space="preserve">Beverly, MA</t>
  </si>
  <si>
    <t xml:space="preserve">Beverly. 50 plus minutes. Email, call, or event motion.</t>
  </si>
  <si>
    <t xml:space="preserve">Polar Beverages</t>
  </si>
  <si>
    <t xml:space="preserve">Worcester, MA</t>
  </si>
  <si>
    <t xml:space="preserve">Worcester. 50 plus minutes. Email, call, or event motion.</t>
  </si>
  <si>
    <t xml:space="preserve">Acme Monaco</t>
  </si>
  <si>
    <t xml:space="preserve">New Britain, CT</t>
  </si>
  <si>
    <t xml:space="preserve">No. Out of region</t>
  </si>
  <si>
    <t xml:space="preserve">CT, NH, VT or NY. Email and call motion only.</t>
  </si>
  <si>
    <t xml:space="preserve">Arvinas</t>
  </si>
  <si>
    <t xml:space="preserve">New Haven, CT</t>
  </si>
  <si>
    <t xml:space="preserve">~430</t>
  </si>
  <si>
    <t xml:space="preserve">Bexorg</t>
  </si>
  <si>
    <t xml:space="preserve">Darn Tough</t>
  </si>
  <si>
    <t xml:space="preserve">Northfield, VT</t>
  </si>
  <si>
    <t xml:space="preserve">Hitchiner Mfg</t>
  </si>
  <si>
    <t xml:space="preserve">Milford, NH</t>
  </si>
  <si>
    <t xml:space="preserve">KMC Systems</t>
  </si>
  <si>
    <t xml:space="preserve">Merrimack, NH</t>
  </si>
  <si>
    <t xml:space="preserve">Lex Products</t>
  </si>
  <si>
    <t xml:space="preserve">Shelton, CT</t>
  </si>
  <si>
    <t xml:space="preserve">Microboard Processing</t>
  </si>
  <si>
    <t xml:space="preserve">Seymour, CT</t>
  </si>
  <si>
    <t xml:space="preserve">Monadnock Hosp</t>
  </si>
  <si>
    <t xml:space="preserve">Peterborough, NH</t>
  </si>
  <si>
    <t xml:space="preserve">New England Wire</t>
  </si>
  <si>
    <t xml:space="preserve">Lisbon, NH</t>
  </si>
  <si>
    <t xml:space="preserve">OrthoConnecticut</t>
  </si>
  <si>
    <t xml:space="preserve">Danbury, CT</t>
  </si>
  <si>
    <t xml:space="preserve">Protege</t>
  </si>
  <si>
    <t xml:space="preserve">New York, NY</t>
  </si>
  <si>
    <t xml:space="preserve">Runway AI</t>
  </si>
  <si>
    <t xml:space="preserve">AI / Creative</t>
  </si>
  <si>
    <t xml:space="preserve">Starling Physicians</t>
  </si>
  <si>
    <t xml:space="preserve">Rocky Hill, CT</t>
  </si>
  <si>
    <t xml:space="preserve">Vermont Teddy Bear</t>
  </si>
  <si>
    <t xml:space="preserve">Shelburne, VT</t>
  </si>
  <si>
    <t xml:space="preserve">Consumer</t>
  </si>
  <si>
    <t xml:space="preserve">Visiting Nurses</t>
  </si>
  <si>
    <t xml:space="preserve">Albany, NY</t>
  </si>
  <si>
    <t xml:space="preserve">Home Health</t>
  </si>
  <si>
    <t xml:space="preserve">Yuma Asset Mgmt</t>
  </si>
  <si>
    <t xml:space="preserve">Stamford, CT</t>
  </si>
  <si>
    <t xml:space="preserve">Crypto</t>
  </si>
  <si>
    <t xml:space="preserve">Drive routes</t>
  </si>
  <si>
    <t xml:space="preserve">Each route is a half day: 8 to 12 stops, one geography, no backtracking. Filter the Target List by the Route column, print it, go.</t>
  </si>
  <si>
    <t xml:space="preserve">Code</t>
  </si>
  <si>
    <t xml:space="preserve">Stops</t>
  </si>
  <si>
    <t xml:space="preserve">How to work it</t>
  </si>
  <si>
    <t xml:space="preserve">R1</t>
  </si>
  <si>
    <t xml:space="preserve">Rockland: Exit 14 corridor (Hingham St, Ledgewood Pl, Reservoir Park)</t>
  </si>
  <si>
    <t xml:space="preserve">One exit, one loop. Start at Cutter, work the Ledgewood Pl buildings (three targets share them), end at FINTRX. EMD Serono is a drive-by; do not cold walk past security.</t>
  </si>
  <si>
    <t xml:space="preserve">R2</t>
  </si>
  <si>
    <t xml:space="preserve">Rockland: Weymouth St / VFW Dr industrial + Union St center</t>
  </si>
  <si>
    <t xml:space="preserve">Best density on the list. Industrial loop first (Weymouth St, Commerce Rd, Rockview Way pairs), then Union St for the credit union. Morning route.</t>
  </si>
  <si>
    <t xml:space="preserve">N1</t>
  </si>
  <si>
    <t xml:space="preserve">Norwell: Accord Park &amp; Longwater Dr (Assinippi)</t>
  </si>
  <si>
    <t xml:space="preserve">Two connected office parks, walkable pairs everywhere. 600 Longwater alone holds Radius and Miniter. Clean Harbors HQ is here: current account, coordinate first.</t>
  </si>
  <si>
    <t xml:space="preserve">N2</t>
  </si>
  <si>
    <t xml:space="preserve">Norwell: Rt 53 &amp; Queen Anne's Corner (Washington St, Pond St)</t>
  </si>
  <si>
    <t xml:space="preserve">Straight run down Rt 53. The 80 Washington St plaza holds three targets in one parking lot. Afternoon route, clinics after 1:30.</t>
  </si>
  <si>
    <t xml:space="preserve">H1</t>
  </si>
  <si>
    <t xml:space="preserve">Hanover: Rt 53 &amp; Rt 139 (Washington St, Columbia Rd)</t>
  </si>
  <si>
    <t xml:space="preserve">Dealer row plus Cardinal Cushing campus. Jannell Ford and First Resource face each other; Homestead and Merrill share 427 Columbia Rd.</t>
  </si>
  <si>
    <t xml:space="preserve">H2</t>
  </si>
  <si>
    <t xml:space="preserve">West Hanover industrial (Winter St, Circuit St, King St)</t>
  </si>
  <si>
    <t xml:space="preserve">Manufacturer heavy, go in the morning. P.A. Landers here is an ACTIVE account: relationship stop, not a pitch.</t>
  </si>
  <si>
    <t xml:space="preserve">P1</t>
  </si>
  <si>
    <t xml:space="preserve">Pembroke: Corporate Park, Riverside Dr, Schoosett St (Rt 139/53)</t>
  </si>
  <si>
    <t xml:space="preserve">Biggest route, split it in two if needed. Riverside Dr and Corporate Park Dr are back to back. Royal Health and RSI share 42 Winter St.</t>
  </si>
  <si>
    <t xml:space="preserve">W1</t>
  </si>
  <si>
    <t xml:space="preserve">Whitman, Abington &amp; Hanson</t>
  </si>
  <si>
    <t xml:space="preserve">Three towns, one arc. Pair the Franklin St stops in Hanson. Call Defense Investigators before trying to visit.</t>
  </si>
  <si>
    <t xml:space="preserve">S1</t>
  </si>
  <si>
    <t xml:space="preserve">Weymouth, Hingham, Cohasset, Scituate (Rt 3A / 18 / 53 north)</t>
  </si>
  <si>
    <t xml:space="preserve">Your commute route. Libbey Industrial Pkwy in Weymouth pairs Sawyer and Boxerbrand; Hingham's Industrial Park Rd holds Dynavac and Hennigan side by side with Pond Park (South Shore Orthopedics, Hart Supply) around the corner. South Shore Bank, Coastal Heritage and Hingham Savings anchor the bank stops. AJA and O2X are in Scituate, minutes from home.</t>
  </si>
  <si>
    <t xml:space="preserve">Q1</t>
  </si>
  <si>
    <t xml:space="preserve">Quincy &amp; Milton (Rt 93 / 3A north)</t>
  </si>
  <si>
    <t xml:space="preserve">Crown Colony office park is the anchor: MCMC and Environmental Partners share it, Arbella HQ is a drive-by (badge lobby, go through the named CIO instead). 1250 Hancock St and 500 Victory Rd are two-for-one buildings. Manet's CIO was already a YES on the prior-100 list.</t>
  </si>
  <si>
    <t xml:space="preserve">P2</t>
  </si>
  <si>
    <t xml:space="preserve">Plymouth, Kingston, Duxbury, Marshfield (Rt 3 south)</t>
  </si>
  <si>
    <t xml:space="preserve">Home field. Engine Lease Finance is IN YOUR BUILDING at 225 Water St: walk the hallway first. Plymouth Industrial Park Rd holds CDF and Vacuum Process Technology; Marshfield's Enterprise Dr pairs Kirwan Surgical and United Elevator. Fold Linchris and the other Zone 1 accounts into this loop.</t>
  </si>
  <si>
    <t xml:space="preserve">K1</t>
  </si>
  <si>
    <t xml:space="preserve">Brockton, Easton, Bridgewater, Avon, Randolph (Rt 24 ring)</t>
  </si>
  <si>
    <t xml:space="preserve">Densest manufacturing on the list. Manley St in West Bridgewater is three stops (Double E, REXA, Shawmut); Norfolk Ave in South Easton is four (Pharmasol, Willwork, RELCO, Central Ceilings); Bodwell St in Avon is four more (Ruby Wines, Weiss, Aqua-Leisure, IPC Lydon). Morning route, owners in early.</t>
  </si>
  <si>
    <t xml:space="preserve">B1</t>
  </si>
  <si>
    <t xml:space="preserve">Braintree, Holbrook, Canton, Stoughton, Norwood ring (Rt 93/24/138)</t>
  </si>
  <si>
    <t xml:space="preserve">New ring seeded from the June postcard list, 20 to 30 minutes out. Emails already on file for most stops. Boston Mutual's CISO and Abington Bank's IT VP anchor it.</t>
  </si>
  <si>
    <t xml:space="preserve">F1</t>
  </si>
  <si>
    <t xml:space="preserve">Foxboro, Mansfield, Norton, Sharon, Walpole (Rt 95 / 495 belt)</t>
  </si>
  <si>
    <t xml:space="preserve">Forbes Blvd in Mansfield and Foxborough is the spine (Lacerta, Proven Process, American Electrical Testing). Heads up: Thrive, a 1,400 person national MSP, is headquartered in Foxborough, so expect an incumbent at many doors here. Lead with co-managed and Experts On Demand, not rip and replace.</t>
  </si>
  <si>
    <t xml:space="preserve">X1</t>
  </si>
  <si>
    <t xml:space="preserve">Nearby, verify first</t>
  </si>
  <si>
    <t xml:space="preserve">Bay State PT HQ is in Braintree now. Call ahead, combine with a B1 route day.</t>
  </si>
  <si>
    <t xml:space="preserve">Suggested first outing: N1 Norwell Accord Park. Highest tier A density, everything within a half mile, and Zildjian makes a story you can tell at every other door.</t>
  </si>
  <si>
    <t xml:space="preserve">Fold Zone 1 account visits (Existing Accounts tab) into these routes: Landers on H2, Clean Harbors on N1, Averill near W1/B1, Linchris is in your own building on P2.</t>
  </si>
  <si>
    <t xml:space="preserve">New in v3: S1, Q1, P2, K1 and F1 extend the map to the full 30 to 45 minute ring from Scituate and Rockland: the 3A coast, Quincy, Plymouth, the Rt 24 corridor and the Foxboro/495 belt.</t>
  </si>
  <si>
    <t xml:space="preserve">The Drop-Off Playbook</t>
  </si>
  <si>
    <t xml:space="preserve">You are not selling at the door. You are earning a name, a face, and permission to follow up.</t>
  </si>
  <si>
    <t xml:space="preserve">Every stop ends in one of three wins: two minutes with a decision maker, the decision maker's name and email from the front desk, or a warm reason to come back. Anything else is a skip, not a failure.</t>
  </si>
  <si>
    <t xml:space="preserve">Before you leave</t>
  </si>
  <si>
    <t xml:space="preserve">• Pick one route from the Routes tab and work it end to end. 8 to 12 stops fits a half day.</t>
  </si>
  <si>
    <t xml:space="preserve">• Print a packet per stop: one page flyer, business card, handwritten sticky note. Folder, not a box.</t>
  </si>
  <si>
    <t xml:space="preserve">• Match the flyer to the stop. Experts On Demand where an IT contact is listed. Managed services or the Zero-Touch device page everywhere else.</t>
  </si>
  <si>
    <t xml:space="preserve">• Google each company that morning. Ten seconds per stop confirms they still exist and saves a wasted drive.</t>
  </si>
  <si>
    <t xml:space="preserve">• Check the Acct status column. An account row gets a relationship visit, never a cold pitch.</t>
  </si>
  <si>
    <t xml:space="preserve">Timing</t>
  </si>
  <si>
    <t xml:space="preserve">• Tuesday through Thursday. Monday is chaos, Friday is checkout.</t>
  </si>
  <si>
    <t xml:space="preserve">• Manufacturers and contractors: 8:30 to 11:00. Owners are in early.</t>
  </si>
  <si>
    <t xml:space="preserve">• Offices, finance, insurance, CPA: 9:30 to 11:30 or 1:30 to 4:00.</t>
  </si>
  <si>
    <t xml:space="preserve">• Clinics and healthcare: 1:30 to 3:30. Never during the morning patient rush, never in patient areas.</t>
  </si>
  <si>
    <t xml:space="preserve">• Dealerships: mid morning, midweek. Ask for the GM or controller, not the sales floor.</t>
  </si>
  <si>
    <t xml:space="preserve">At the front desk</t>
  </si>
  <si>
    <t xml:space="preserve">"Hi, I'm [your name] with 5 Point Technology. We're an IT partner based down in Plymouth, so you're in our backyard. I was just over at [neighbor from this route]. Is [first name from the list] around for two minutes? I've got something short to drop off for them."</t>
  </si>
  <si>
    <t xml:space="preserve">If they ask what it's about:</t>
  </si>
  <si>
    <t xml:space="preserve">"We support IT teams at companies about this size. Two minutes and I'm gone. If [name] is out, no problem at all. Who's the right person to leave this with, and what's their email so I don't bug your desk again?"</t>
  </si>
  <si>
    <t xml:space="preserve">Always leave with a name and an email, even when the answer is no. That is the real product of the visit.</t>
  </si>
  <si>
    <t xml:space="preserve">If the decision maker comes out (60 seconds, then stop)</t>
  </si>
  <si>
    <t xml:space="preserve">"Thanks for coming out. Thirty seconds, then one question. We're 5 Point Technology, IT support and security out of Plymouth. Twenty plus engineers, help desk through CIO level, and we already work with [vertical] teams around the South Shore. So the question: when your team hits an IT wall, who do they call today?"</t>
  </si>
  <si>
    <t xml:space="preserve">Then be quiet and listen. Whatever they say, the close is the same, one CTA:</t>
  </si>
  <si>
    <t xml:space="preserve">"That's exactly the conversation that's worth 20 minutes, not a lobby chat. Does Tuesday or Wednesday morning work for a short call?"</t>
  </si>
  <si>
    <t xml:space="preserve">Book it on the spot. A specific day beats a business card exchange every time.</t>
  </si>
  <si>
    <t xml:space="preserve">Existing account visits (the warm loop)</t>
  </si>
  <si>
    <t xml:space="preserve">• Zone 1 accounts on the Existing Accounts tab get a standing monthly stop: bring coffee, ask what changed, ask for one introduction.</t>
  </si>
  <si>
    <t xml:space="preserve">• The ask that works on a current account you met but never closed: one small paid project with a dated deliverable. Small yes first.</t>
  </si>
  <si>
    <t xml:space="preserve">• P.A. Landers is your local proof. Ask them for a referral into one neighbor on the H2 route.</t>
  </si>
  <si>
    <t xml:space="preserve">• Linchris Hotel Group is in your own building at 225 Water St. Walk down the hall this week.</t>
  </si>
  <si>
    <t xml:space="preserve">What to lead with, by segment</t>
  </si>
  <si>
    <t xml:space="preserve">• Manufacturers: production uptime, aging servers, ransomware. Defense suppliers: ask how CMMC prep is going.</t>
  </si>
  <si>
    <t xml:space="preserve">• Healthcare, ABA, senior care: HIPAA risk assessment (insurers now expect one), EHR uptime, day one clinician devices.</t>
  </si>
  <si>
    <t xml:space="preserve">• Banks, mortgage, insurance, CPA: GLBA and FTC Safeguards require a written security program. Ask who owns theirs.</t>
  </si>
  <si>
    <t xml:space="preserve">• Contractors: wire fraud. Ask what happens if their estimator's email gets taken over.</t>
  </si>
  <si>
    <t xml:space="preserve">• Nonprofits: right sized support, co-managed overflow, board level security reporting without enterprise pricing.</t>
  </si>
  <si>
    <t xml:space="preserve">• Auto dealers: FTC Safeguards applies to them directly. Ask who runs their safeguards program.</t>
  </si>
  <si>
    <t xml:space="preserve">Proof points that land at the door</t>
  </si>
  <si>
    <t xml:space="preserve">• 20 plus certified engineers, help desk through C-suite, Experts On Demand for burst capacity.</t>
  </si>
  <si>
    <t xml:space="preserve">• Plymouth HQ with Boston and Manhattan presence. On site here the same day when it matters.</t>
  </si>
  <si>
    <t xml:space="preserve">• Zero-Touch device program: laptop delivery cut from weeks to days, next business day replacement.</t>
  </si>
  <si>
    <t xml:space="preserve">• About 2.5 hours saved per endpoint per year on device upkeep alone.</t>
  </si>
  <si>
    <t xml:space="preserve">• Co-managed or fully managed. We plug into your team. We do not replace it.</t>
  </si>
  <si>
    <t xml:space="preserve">The offer</t>
  </si>
  <si>
    <t xml:space="preserve">Lead offer: a free assessment with a real name and a real value. Co-managed prospects get a capacity and infrastructure check. Fully managed prospects get a security risk assessment mapped to their rules: HIPAA, GLBA, FTC Safeguards, or CMMC.</t>
  </si>
  <si>
    <t xml:space="preserve">Risk reversal: put a date on it. Findings reviewed with them within 10 business days. If they sign later, a defined onboarding milestone by day 30.</t>
  </si>
  <si>
    <t xml:space="preserve">No invented scarcity, ever. These buyers smell it and it costs every ounce of trust.</t>
  </si>
  <si>
    <t xml:space="preserve">After the visit</t>
  </si>
  <si>
    <t xml:space="preserve">• Same evening: log every stop in the Target List. Status, visit date, next step.</t>
  </si>
  <si>
    <t xml:space="preserve">• Within 48 hours: a plain text email plus one call. Subject line, lowercase and local:</t>
  </si>
  <si>
    <t xml:space="preserve">subject: stopped by [company] yesterday</t>
  </si>
  <si>
    <t xml:space="preserve">"Hi [Name], I left a one pager at your front desk yesterday. We're the IT partner in Plymouth that works with [similar local company type] nearby. One question: when your team is stretched thin on IT, do you handle the overflow in house or hand it off? If that's ever a squeeze, it's worth a 20 minute call. [Your name]"</t>
  </si>
  <si>
    <t xml:space="preserve">• Day 7: second call. Day 21: postcard or a second visit on the next pass of that route.</t>
  </si>
  <si>
    <t xml:space="preserve">• Rework each route monthly. The second and third visits are where familiar becomes trusted.</t>
  </si>
  <si>
    <t xml:space="preserve">Ground rules</t>
  </si>
  <si>
    <t xml:space="preserve">• Respect No Soliciting signs. Those accounts get mail and a call instead. Burning a front desk burns the account.</t>
  </si>
  <si>
    <t xml:space="preserve">• Front office only. Never the shop floor, never patient areas, never past a security desk.</t>
  </si>
  <si>
    <t xml:space="preserve">• Two minutes means two minutes. Leaving on time is the credibility.</t>
  </si>
  <si>
    <t xml:space="preserve">• Contact names came from databases and a June list. Confirm at the desk: asking whether [name] still runs IT is itself a fine opener.</t>
  </si>
</sst>
</file>

<file path=xl/styles.xml><?xml version="1.0" encoding="utf-8"?>
<styleSheet xmlns="http://schemas.openxmlformats.org/spreadsheetml/2006/main">
  <numFmts count="6">
    <numFmt numFmtId="164" formatCode="General"/>
    <numFmt numFmtId="165" formatCode="General"/>
    <numFmt numFmtId="166" formatCode="mm/dd/yy"/>
    <numFmt numFmtId="167" formatCode="#,##0"/>
    <numFmt numFmtId="168" formatCode="\$#,##0.0,,"/>
    <numFmt numFmtId="169" formatCode="0"/>
  </numFmts>
  <fonts count="23">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10"/>
      <color rgb="FF595959"/>
      <name val="Arial"/>
      <family val="0"/>
      <charset val="1"/>
    </font>
    <font>
      <b val="true"/>
      <sz val="12"/>
      <color rgb="FF1F3864"/>
      <name val="Arial"/>
      <family val="0"/>
      <charset val="1"/>
    </font>
    <font>
      <sz val="10"/>
      <color rgb="FF000000"/>
      <name val="Arial"/>
      <family val="0"/>
      <charset val="1"/>
    </font>
    <font>
      <b val="true"/>
      <sz val="10"/>
      <color rgb="FF006100"/>
      <name val="Arial"/>
      <family val="0"/>
      <charset val="1"/>
    </font>
    <font>
      <b val="true"/>
      <sz val="10"/>
      <color rgb="FF1F4E79"/>
      <name val="Arial"/>
      <family val="0"/>
      <charset val="1"/>
    </font>
    <font>
      <b val="true"/>
      <sz val="10"/>
      <color rgb="FF9C6500"/>
      <name val="Arial"/>
      <family val="0"/>
      <charset val="1"/>
    </font>
    <font>
      <b val="true"/>
      <sz val="10"/>
      <color rgb="FF000000"/>
      <name val="Arial"/>
      <family val="0"/>
      <charset val="1"/>
    </font>
    <font>
      <b val="true"/>
      <sz val="9"/>
      <color rgb="FFFFFFFF"/>
      <name val="Arial"/>
      <family val="0"/>
      <charset val="1"/>
    </font>
    <font>
      <sz val="9"/>
      <color rgb="FF000000"/>
      <name val="Arial"/>
      <family val="0"/>
      <charset val="1"/>
    </font>
    <font>
      <b val="true"/>
      <sz val="10"/>
      <color rgb="FFFFFFFF"/>
      <name val="Arial"/>
      <family val="0"/>
      <charset val="1"/>
    </font>
    <font>
      <sz val="10"/>
      <color rgb="FF0563C1"/>
      <name val="Arial"/>
      <family val="0"/>
      <charset val="1"/>
    </font>
    <font>
      <b val="true"/>
      <sz val="10"/>
      <color rgb="FF4B2E83"/>
      <name val="Arial"/>
      <family val="0"/>
      <charset val="1"/>
    </font>
    <font>
      <b val="true"/>
      <sz val="14"/>
      <color rgb="FF1F3864"/>
      <name val="Arial"/>
      <family val="0"/>
      <charset val="1"/>
    </font>
    <font>
      <b val="true"/>
      <sz val="10"/>
      <color rgb="FF2E7D32"/>
      <name val="Arial"/>
      <family val="0"/>
      <charset val="1"/>
    </font>
    <font>
      <b val="true"/>
      <sz val="10"/>
      <color rgb="FF8B3A3A"/>
      <name val="Arial"/>
      <family val="0"/>
      <charset val="1"/>
    </font>
    <font>
      <b val="true"/>
      <sz val="10"/>
      <color rgb="FF6A1B9A"/>
      <name val="Arial"/>
      <family val="0"/>
      <charset val="1"/>
    </font>
    <font>
      <b val="true"/>
      <sz val="10"/>
      <color rgb="FF1565C0"/>
      <name val="Arial"/>
      <family val="0"/>
      <charset val="1"/>
    </font>
    <font>
      <i val="true"/>
      <sz val="10"/>
      <color rgb="FF1F4E79"/>
      <name val="Arial"/>
      <family val="0"/>
      <charset val="1"/>
    </font>
  </fonts>
  <fills count="10">
    <fill>
      <patternFill patternType="none"/>
    </fill>
    <fill>
      <patternFill patternType="gray125"/>
    </fill>
    <fill>
      <patternFill patternType="solid">
        <fgColor rgb="FFC6EFCE"/>
        <bgColor rgb="FFDDEBF7"/>
      </patternFill>
    </fill>
    <fill>
      <patternFill patternType="solid">
        <fgColor rgb="FFDDEBF7"/>
        <bgColor rgb="FFEDF2FA"/>
      </patternFill>
    </fill>
    <fill>
      <patternFill patternType="solid">
        <fgColor rgb="FFFFF2CC"/>
        <bgColor rgb="FFFFF9C4"/>
      </patternFill>
    </fill>
    <fill>
      <patternFill patternType="solid">
        <fgColor rgb="FF1F3864"/>
        <bgColor rgb="FF1F4E79"/>
      </patternFill>
    </fill>
    <fill>
      <patternFill patternType="solid">
        <fgColor rgb="FFFFF9C4"/>
        <bgColor rgb="FFFFF2CC"/>
      </patternFill>
    </fill>
    <fill>
      <patternFill patternType="solid">
        <fgColor rgb="FFE5DAF0"/>
        <bgColor rgb="FFD9D9D9"/>
      </patternFill>
    </fill>
    <fill>
      <patternFill patternType="solid">
        <fgColor rgb="FFF2E5E5"/>
        <bgColor rgb="FFE5DAF0"/>
      </patternFill>
    </fill>
    <fill>
      <patternFill patternType="solid">
        <fgColor rgb="FFEDF2FA"/>
        <bgColor rgb="FFDDEBF7"/>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center" vertical="bottom" textRotation="0" wrapText="false" indent="0" shrinkToFit="false"/>
      <protection locked="true" hidden="false"/>
    </xf>
    <xf numFmtId="164" fontId="9" fillId="3" borderId="0" xfId="0" applyFont="true" applyBorder="false" applyAlignment="true" applyProtection="false">
      <alignment horizontal="center" vertical="bottom" textRotation="0" wrapText="false" indent="0" shrinkToFit="false"/>
      <protection locked="true" hidden="false"/>
    </xf>
    <xf numFmtId="164" fontId="10" fillId="4" borderId="0" xfId="0" applyFont="true" applyBorder="false" applyAlignment="true" applyProtection="false">
      <alignment horizontal="center" vertical="bottom" textRotation="0" wrapText="false" indent="0" shrinkToFit="false"/>
      <protection locked="true" hidden="false"/>
    </xf>
    <xf numFmtId="165" fontId="11" fillId="0" borderId="0" xfId="0" applyFont="true" applyBorder="false" applyAlignment="true" applyProtection="false">
      <alignment horizontal="left" vertical="bottom" textRotation="0" wrapText="false" indent="0" shrinkToFit="false"/>
      <protection locked="true" hidden="false"/>
    </xf>
    <xf numFmtId="164" fontId="12" fillId="5" borderId="0" xfId="0" applyFont="true" applyBorder="false" applyAlignment="false" applyProtection="false">
      <alignment horizontal="general" vertical="bottom" textRotation="0" wrapText="false" indent="0" shrinkToFit="false"/>
      <protection locked="true" hidden="false"/>
    </xf>
    <xf numFmtId="164" fontId="13" fillId="6" borderId="0" xfId="0" applyFont="true" applyBorder="false" applyAlignment="false" applyProtection="false">
      <alignment horizontal="general" vertical="bottom" textRotation="0" wrapText="false" indent="0" shrinkToFit="false"/>
      <protection locked="true" hidden="false"/>
    </xf>
    <xf numFmtId="166" fontId="13" fillId="6" borderId="0" xfId="0" applyFont="true" applyBorder="false" applyAlignment="false" applyProtection="false">
      <alignment horizontal="general" vertical="bottom" textRotation="0" wrapText="false" indent="0" shrinkToFit="false"/>
      <protection locked="true" hidden="false"/>
    </xf>
    <xf numFmtId="164" fontId="14" fillId="5" borderId="0" xfId="0" applyFont="true" applyBorder="false" applyAlignment="true" applyProtection="false">
      <alignment horizontal="center" vertical="center" textRotation="0" wrapText="true" indent="0" shrinkToFit="false"/>
      <protection locked="true" hidden="false"/>
    </xf>
    <xf numFmtId="164" fontId="8" fillId="2" borderId="1" xfId="0" applyFont="true" applyBorder="true" applyAlignment="true" applyProtection="false">
      <alignment horizontal="center"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15" fillId="0"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fals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9" fontId="7" fillId="0" borderId="1" xfId="0" applyFont="true" applyBorder="true" applyAlignment="true" applyProtection="false">
      <alignment horizontal="general" vertical="top" textRotation="0" wrapText="false" indent="0" shrinkToFit="false"/>
      <protection locked="true" hidden="false"/>
    </xf>
    <xf numFmtId="164" fontId="15" fillId="0"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false" indent="0" shrinkToFit="false"/>
      <protection locked="true" hidden="false"/>
    </xf>
    <xf numFmtId="166"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center" vertical="top" textRotation="0" wrapText="false" indent="0" shrinkToFit="false"/>
      <protection locked="true" hidden="false"/>
    </xf>
    <xf numFmtId="164" fontId="10" fillId="4" borderId="1" xfId="0" applyFont="true" applyBorder="true" applyAlignment="true" applyProtection="false">
      <alignment horizontal="center" vertical="top" textRotation="0" wrapText="false" indent="0" shrinkToFit="false"/>
      <protection locked="true" hidden="false"/>
    </xf>
    <xf numFmtId="164" fontId="16" fillId="7" borderId="1" xfId="0" applyFont="true" applyBorder="true" applyAlignment="true" applyProtection="false">
      <alignment horizontal="general" vertical="top" textRotation="0" wrapText="tru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4" fillId="5"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general" vertical="top" textRotation="0" wrapText="false" indent="0" shrinkToFit="false"/>
      <protection locked="true" hidden="false"/>
    </xf>
    <xf numFmtId="164" fontId="18" fillId="0" borderId="1" xfId="0" applyFont="true" applyBorder="true" applyAlignment="true" applyProtection="false">
      <alignment horizontal="general" vertical="top" textRotation="0" wrapText="false" indent="0" shrinkToFit="false"/>
      <protection locked="true" hidden="false"/>
    </xf>
    <xf numFmtId="164" fontId="9" fillId="3" borderId="1" xfId="0" applyFont="true" applyBorder="true" applyAlignment="true" applyProtection="false">
      <alignment horizontal="general" vertical="top" textRotation="0" wrapText="false" indent="0" shrinkToFit="false"/>
      <protection locked="true" hidden="false"/>
    </xf>
    <xf numFmtId="164" fontId="10" fillId="4" borderId="1" xfId="0" applyFont="true" applyBorder="true" applyAlignment="true" applyProtection="false">
      <alignment horizontal="general" vertical="top" textRotation="0" wrapText="false" indent="0" shrinkToFit="false"/>
      <protection locked="true" hidden="false"/>
    </xf>
    <xf numFmtId="164" fontId="19" fillId="8" borderId="1" xfId="0" applyFont="true" applyBorder="true" applyAlignment="true" applyProtection="false">
      <alignment horizontal="general" vertical="top" textRotation="0" wrapText="false" indent="0" shrinkToFit="false"/>
      <protection locked="true" hidden="false"/>
    </xf>
    <xf numFmtId="164" fontId="11" fillId="0" borderId="1" xfId="0" applyFont="true" applyBorder="true" applyAlignment="true" applyProtection="false">
      <alignment horizontal="general" vertical="top"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22" fillId="9" borderId="0" xfId="0" applyFont="true" applyBorder="false" applyAlignment="true" applyProtection="false">
      <alignment horizontal="general" vertical="top" textRotation="0" wrapText="true" indent="1"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7">
    <dxf>
      <fill>
        <patternFill patternType="solid">
          <fgColor rgb="FF1F3864"/>
          <bgColor rgb="FF000000"/>
        </patternFill>
      </fill>
    </dxf>
    <dxf>
      <fill>
        <patternFill patternType="solid">
          <fgColor rgb="FFC6EFCE"/>
          <bgColor rgb="FF000000"/>
        </patternFill>
      </fill>
    </dxf>
    <dxf>
      <fill>
        <patternFill patternType="solid">
          <fgColor rgb="FFDDEBF7"/>
          <bgColor rgb="FF000000"/>
        </patternFill>
      </fill>
    </dxf>
    <dxf>
      <fill>
        <patternFill patternType="solid">
          <fgColor rgb="FFFFF2CC"/>
          <bgColor rgb="FF000000"/>
        </patternFill>
      </fill>
    </dxf>
    <dxf>
      <fill>
        <patternFill patternType="solid">
          <fgColor rgb="FF006100"/>
          <bgColor rgb="FF000000"/>
        </patternFill>
      </fill>
    </dxf>
    <dxf>
      <fill>
        <patternFill patternType="solid">
          <fgColor rgb="FF1F4E79"/>
          <bgColor rgb="FF000000"/>
        </patternFill>
      </fill>
    </dxf>
    <dxf>
      <fill>
        <patternFill patternType="solid">
          <fgColor rgb="FF9C6500"/>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0563C1"/>
          <bgColor rgb="FF000000"/>
        </patternFill>
      </fill>
    </dxf>
    <dxf>
      <fill>
        <patternFill patternType="solid">
          <fgColor rgb="FFE5DAF0"/>
          <bgColor rgb="FF000000"/>
        </patternFill>
      </fill>
    </dxf>
    <dxf>
      <fill>
        <patternFill patternType="solid">
          <fgColor rgb="FF4B2E83"/>
          <bgColor rgb="FF000000"/>
        </patternFill>
      </fill>
    </dxf>
    <dxf>
      <fill>
        <patternFill patternType="solid">
          <fgColor rgb="FFFFF9C4"/>
          <bgColor rgb="FF000000"/>
        </patternFill>
      </fill>
    </dxf>
    <dxf>
      <fill>
        <patternFill patternType="solid">
          <fgColor rgb="FFF2E5E5"/>
          <bgColor rgb="FF000000"/>
        </patternFill>
      </fill>
    </dxf>
    <dxf>
      <fill>
        <patternFill patternType="solid">
          <fgColor rgb="FF8B3A3A"/>
          <bgColor rgb="FF000000"/>
        </patternFill>
      </fill>
    </dxf>
    <dxf>
      <fill>
        <patternFill patternType="solid">
          <fgColor rgb="FF2E7D32"/>
          <bgColor rgb="FF000000"/>
        </patternFill>
      </fill>
    </dxf>
  </dxfs>
  <colors>
    <indexedColors>
      <rgbColor rgb="FF000000"/>
      <rgbColor rgb="FFFFFFFF"/>
      <rgbColor rgb="FFFF0000"/>
      <rgbColor rgb="FF00FF00"/>
      <rgbColor rgb="FF0000FF"/>
      <rgbColor rgb="FFFFFF00"/>
      <rgbColor rgb="FFFF00FF"/>
      <rgbColor rgb="FF00FFFF"/>
      <rgbColor rgb="FF800000"/>
      <rgbColor rgb="FF006100"/>
      <rgbColor rgb="FF000080"/>
      <rgbColor rgb="FF9C6500"/>
      <rgbColor rgb="FF6A1B9A"/>
      <rgbColor rgb="FF1F4E79"/>
      <rgbColor rgb="FFE5DAF0"/>
      <rgbColor rgb="FF595959"/>
      <rgbColor rgb="FF9999FF"/>
      <rgbColor rgb="FF8B3A3A"/>
      <rgbColor rgb="FFFFF9C4"/>
      <rgbColor rgb="FFDDEBF7"/>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EDF2FA"/>
      <rgbColor rgb="FFC6EFCE"/>
      <rgbColor rgb="FFFFF2CC"/>
      <rgbColor rgb="FF99CCFF"/>
      <rgbColor rgb="FFFF99CC"/>
      <rgbColor rgb="FFCC99FF"/>
      <rgbColor rgb="FFF2E5E5"/>
      <rgbColor rgb="FF1565C0"/>
      <rgbColor rgb="FF33CCCC"/>
      <rgbColor rgb="FF99CC00"/>
      <rgbColor rgb="FFFFCC00"/>
      <rgbColor rgb="FFFF9900"/>
      <rgbColor rgb="FFE65100"/>
      <rgbColor rgb="FF616161"/>
      <rgbColor rgb="FF969696"/>
      <rgbColor rgb="FF1F3864"/>
      <rgbColor rgb="FF2E7D32"/>
      <rgbColor rgb="FF003300"/>
      <rgbColor rgb="FF333300"/>
      <rgbColor rgb="FF993300"/>
      <rgbColor rgb="FF993366"/>
      <rgbColor rgb="FF4B2E83"/>
      <rgbColor rgb="FF37474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www.google.com/maps/search/?api=1&amp;query=Cutter%20Associates%2C%201050%20Hingham%20St%2C%20Fl%201%2C%20Rockland%20MA%2002370" TargetMode="External"/><Relationship Id="rId2" Type="http://schemas.openxmlformats.org/officeDocument/2006/relationships/hyperlink" Target="https://cutterassociates.com/" TargetMode="External"/><Relationship Id="rId3" Type="http://schemas.openxmlformats.org/officeDocument/2006/relationships/hyperlink" Target="https://www.google.com/maps/search/?api=1&amp;query=FINTRX%2C%2040%20Reservoir%20Park%20Dr%2C%20Ste%20A%2C%20Rockland%20MA%2002370" TargetMode="External"/><Relationship Id="rId4" Type="http://schemas.openxmlformats.org/officeDocument/2006/relationships/hyperlink" Target="https://fintrx.com/" TargetMode="External"/><Relationship Id="rId5" Type="http://schemas.openxmlformats.org/officeDocument/2006/relationships/hyperlink" Target="https://www.google.com/maps/search/?api=1&amp;query=The%20Catered%20Affair%2C%2070%20Ledgewood%20Pl%2C%20Rockland%20MA%2002370" TargetMode="External"/><Relationship Id="rId6" Type="http://schemas.openxmlformats.org/officeDocument/2006/relationships/hyperlink" Target="https://thecateredaffair.com/" TargetMode="External"/><Relationship Id="rId7" Type="http://schemas.openxmlformats.org/officeDocument/2006/relationships/hyperlink" Target="https://www.google.com/maps/search/?api=1&amp;query=ControlPoint%20Technologies%2C%20200%20Ledgewood%20Pl%2C%20Ste%20300%2C%20Rockland%20MA%2002370" TargetMode="External"/><Relationship Id="rId8" Type="http://schemas.openxmlformats.org/officeDocument/2006/relationships/hyperlink" Target="https://cpteng.com/" TargetMode="External"/><Relationship Id="rId9" Type="http://schemas.openxmlformats.org/officeDocument/2006/relationships/hyperlink" Target="https://www.google.com/maps/search/?api=1&amp;query=Burke%20%26%20Associates%20CPAs%2C%20300%20Ledgewood%20Pl%2C%20Ste%20300%2C%20Rockland%20MA%2002370" TargetMode="External"/><Relationship Id="rId10" Type="http://schemas.openxmlformats.org/officeDocument/2006/relationships/hyperlink" Target="https://burkeandassoc.com/" TargetMode="External"/><Relationship Id="rId11" Type="http://schemas.openxmlformats.org/officeDocument/2006/relationships/hyperlink" Target="https://www.google.com/maps/search/?api=1&amp;query=EMD%20Serono%2C%201%20Technology%20Pl%2C%20Rockland%20MA%2002370" TargetMode="External"/><Relationship Id="rId12" Type="http://schemas.openxmlformats.org/officeDocument/2006/relationships/hyperlink" Target="https://emdserono.com/" TargetMode="External"/><Relationship Id="rId13" Type="http://schemas.openxmlformats.org/officeDocument/2006/relationships/hyperlink" Target="https://www.google.com/maps/search/?api=1&amp;query=Food%20Tech%2C%20200%20Ledgewood%20Pl%2C%20Ste%20200%2C%20Rockland%20MA%2002370" TargetMode="External"/><Relationship Id="rId14" Type="http://schemas.openxmlformats.org/officeDocument/2006/relationships/hyperlink" Target="https://foodtech.com/" TargetMode="External"/><Relationship Id="rId15" Type="http://schemas.openxmlformats.org/officeDocument/2006/relationships/hyperlink" Target="https://www.google.com/maps/search/?api=1&amp;query=Rockland%20Federal%20Credit%20Union%2C%20241%20Union%20St%2C%20Rockland%20MA%2002370" TargetMode="External"/><Relationship Id="rId16" Type="http://schemas.openxmlformats.org/officeDocument/2006/relationships/hyperlink" Target="https://rfcu.com/" TargetMode="External"/><Relationship Id="rId17" Type="http://schemas.openxmlformats.org/officeDocument/2006/relationships/hyperlink" Target="https://www.google.com/maps/search/?api=1&amp;query=UPPAbaby%2C%20276%20Weymouth%20St%2C%20Rockland%20MA%2002370" TargetMode="External"/><Relationship Id="rId18" Type="http://schemas.openxmlformats.org/officeDocument/2006/relationships/hyperlink" Target="https://uppababy.com/" TargetMode="External"/><Relationship Id="rId19" Type="http://schemas.openxmlformats.org/officeDocument/2006/relationships/hyperlink" Target="https://www.google.com/maps/search/?api=1&amp;query=Polymer%20Corporation%2C%20180%20Pleasant%20St%2C%20Rockland%20MA%2002370" TargetMode="External"/><Relationship Id="rId20" Type="http://schemas.openxmlformats.org/officeDocument/2006/relationships/hyperlink" Target="https://polymercorporation.com/" TargetMode="External"/><Relationship Id="rId21" Type="http://schemas.openxmlformats.org/officeDocument/2006/relationships/hyperlink" Target="https://www.google.com/maps/search/?api=1&amp;query=Briggs%20Engineering%2C%20100%20Weymouth%20St%2C%20Ste%20C2%2C%20Rockland%20MA%2002370" TargetMode="External"/><Relationship Id="rId22" Type="http://schemas.openxmlformats.org/officeDocument/2006/relationships/hyperlink" Target="https://briggsengineering.com/" TargetMode="External"/><Relationship Id="rId23" Type="http://schemas.openxmlformats.org/officeDocument/2006/relationships/hyperlink" Target="https://www.google.com/maps/search/?api=1&amp;query=National%20Coating%2C%20105%20Industrial%20Way%2C%20Rockland%20MA%2002370" TargetMode="External"/><Relationship Id="rId24" Type="http://schemas.openxmlformats.org/officeDocument/2006/relationships/hyperlink" Target="https://natcoat.com/" TargetMode="External"/><Relationship Id="rId25" Type="http://schemas.openxmlformats.org/officeDocument/2006/relationships/hyperlink" Target="https://www.google.com/maps/search/?api=1&amp;query=K5%20Corporation%2C%209%20Rockview%20Way%2C%20Ste%20B%2C%20Rockland%20MA%2002370" TargetMode="External"/><Relationship Id="rId26" Type="http://schemas.openxmlformats.org/officeDocument/2006/relationships/hyperlink" Target="https://k5corporation.com/" TargetMode="External"/><Relationship Id="rId27" Type="http://schemas.openxmlformats.org/officeDocument/2006/relationships/hyperlink" Target="https://www.google.com/maps/search/?api=1&amp;query=George%20T.%20Wilkinson%2C%20405%20VFW%20Dr%2C%20Ste%201%2C%20Rockland%20MA%2002370" TargetMode="External"/><Relationship Id="rId28" Type="http://schemas.openxmlformats.org/officeDocument/2006/relationships/hyperlink" Target="https://gtwilkinson.com/" TargetMode="External"/><Relationship Id="rId29" Type="http://schemas.openxmlformats.org/officeDocument/2006/relationships/hyperlink" Target="https://www.google.com/maps/search/?api=1&amp;query=Commonwealth%20Building%20Systems%2C%2017%20Rockview%20Way%2C%20Rockland%20MA%2002370" TargetMode="External"/><Relationship Id="rId30" Type="http://schemas.openxmlformats.org/officeDocument/2006/relationships/hyperlink" Target="https://commonwealthbuildingsystems.com/" TargetMode="External"/><Relationship Id="rId31" Type="http://schemas.openxmlformats.org/officeDocument/2006/relationships/hyperlink" Target="https://www.google.com/maps/search/?api=1&amp;query=Bendon%20Gear%20%26%20Machine%2C%20100%20Weymouth%20St%2C%20Ste%20A1%2C%20Rockland%20MA%2002370" TargetMode="External"/><Relationship Id="rId32" Type="http://schemas.openxmlformats.org/officeDocument/2006/relationships/hyperlink" Target="https://bendongear.com/" TargetMode="External"/><Relationship Id="rId33" Type="http://schemas.openxmlformats.org/officeDocument/2006/relationships/hyperlink" Target="https://www.google.com/maps/search/?api=1&amp;query=Alletess%20Medical%20Laboratory%2C%2014%20Howard%20St%2C%20Rockland%20MA%2002370" TargetMode="External"/><Relationship Id="rId34" Type="http://schemas.openxmlformats.org/officeDocument/2006/relationships/hyperlink" Target="https://foodallergy.com/" TargetMode="External"/><Relationship Id="rId35" Type="http://schemas.openxmlformats.org/officeDocument/2006/relationships/hyperlink" Target="https://www.google.com/maps/search/?api=1&amp;query=Rockland%20Trust%20%28Independent%20Bank%20Corp%29%2C%20288%20Union%20St%2C%20Rockland%20MA%2002370" TargetMode="External"/><Relationship Id="rId36" Type="http://schemas.openxmlformats.org/officeDocument/2006/relationships/hyperlink" Target="https://rocklandtrust.com/" TargetMode="External"/><Relationship Id="rId37" Type="http://schemas.openxmlformats.org/officeDocument/2006/relationships/hyperlink" Target="https://www.google.com/maps/search/?api=1&amp;query=United%20A/C%2C%20Heating%20%26%20Refrigeration%2C%20333%20Weymouth%20St%2C%20Rockland%20MA%2002370" TargetMode="External"/><Relationship Id="rId38" Type="http://schemas.openxmlformats.org/officeDocument/2006/relationships/hyperlink" Target="https://united-hvac.com/" TargetMode="External"/><Relationship Id="rId39" Type="http://schemas.openxmlformats.org/officeDocument/2006/relationships/hyperlink" Target="https://www.google.com/maps/search/?api=1&amp;query=Green%20Environmental%2C%20296%20Weymouth%20St%2C%20Ste%20C%2C%20Rockland%20MA%2002370" TargetMode="External"/><Relationship Id="rId40" Type="http://schemas.openxmlformats.org/officeDocument/2006/relationships/hyperlink" Target="https://greenenvironmental.com/" TargetMode="External"/><Relationship Id="rId41" Type="http://schemas.openxmlformats.org/officeDocument/2006/relationships/hyperlink" Target="https://www.google.com/maps/search/?api=1&amp;query=OneScience%2C%20222%20Weymouth%20St%2C%20Ste%202%2C%20Rockland%20MA%2002370" TargetMode="External"/><Relationship Id="rId42" Type="http://schemas.openxmlformats.org/officeDocument/2006/relationships/hyperlink" Target="https://onescience.com/" TargetMode="External"/><Relationship Id="rId43" Type="http://schemas.openxmlformats.org/officeDocument/2006/relationships/hyperlink" Target="https://www.google.com/maps/search/?api=1&amp;query=MIJA%2C%2011%20Commerce%20Rd%2C%20Ste%20C%2C%20Rockland%20MA%2002370" TargetMode="External"/><Relationship Id="rId44" Type="http://schemas.openxmlformats.org/officeDocument/2006/relationships/hyperlink" Target="https://mija.com/" TargetMode="External"/><Relationship Id="rId45" Type="http://schemas.openxmlformats.org/officeDocument/2006/relationships/hyperlink" Target="https://www.google.com/maps/search/?api=1&amp;query=RuggedMade%2C%207%20Market%20St%2C%20Rockland%20MA%2002370" TargetMode="External"/><Relationship Id="rId46" Type="http://schemas.openxmlformats.org/officeDocument/2006/relationships/hyperlink" Target="https://ruggedmade.com/" TargetMode="External"/><Relationship Id="rId47" Type="http://schemas.openxmlformats.org/officeDocument/2006/relationships/hyperlink" Target="https://www.google.com/maps/search/?api=1&amp;query=Avedis%20Zildjian%20Company%2C%2022%20Longwater%20Dr%2C%20Norwell%20MA%2002061" TargetMode="External"/><Relationship Id="rId48" Type="http://schemas.openxmlformats.org/officeDocument/2006/relationships/hyperlink" Target="https://zildjian.com/" TargetMode="External"/><Relationship Id="rId49" Type="http://schemas.openxmlformats.org/officeDocument/2006/relationships/hyperlink" Target="https://www.google.com/maps/search/?api=1&amp;query=Radius%20Financial%20Group%2C%20600%20Longwater%20Dr%2C%20Ste%20107%2C%20Norwell%20MA%2002061" TargetMode="External"/><Relationship Id="rId50" Type="http://schemas.openxmlformats.org/officeDocument/2006/relationships/hyperlink" Target="https://radiusgrp.com/" TargetMode="External"/><Relationship Id="rId51" Type="http://schemas.openxmlformats.org/officeDocument/2006/relationships/hyperlink" Target="https://www.google.com/maps/search/?api=1&amp;query=NVNA%20and%20Hospice%20%28Norwell%20VNA%29%2C%20120%20Longwater%20Dr%2C%20Ste%20104%2C%20Norwell%20MA%2002061" TargetMode="External"/><Relationship Id="rId52" Type="http://schemas.openxmlformats.org/officeDocument/2006/relationships/hyperlink" Target="https://nvna.org/" TargetMode="External"/><Relationship Id="rId53" Type="http://schemas.openxmlformats.org/officeDocument/2006/relationships/hyperlink" Target="https://www.google.com/maps/search/?api=1&amp;query=DIH%20Holding%20US%20%28Hocoma%29%2C%2077%20Accord%20Park%20Dr%2C%20Ste%20D1%2C%20Norwell%20MA%2002061" TargetMode="External"/><Relationship Id="rId54" Type="http://schemas.openxmlformats.org/officeDocument/2006/relationships/hyperlink" Target="https://dih.com/" TargetMode="External"/><Relationship Id="rId55" Type="http://schemas.openxmlformats.org/officeDocument/2006/relationships/hyperlink" Target="https://www.google.com/maps/search/?api=1&amp;query=Miniter%20Group%2C%20600%20Longwater%20Dr%2C%20Ste%20301%2C%20Norwell%20MA%2002061" TargetMode="External"/><Relationship Id="rId56" Type="http://schemas.openxmlformats.org/officeDocument/2006/relationships/hyperlink" Target="https://miniter.com/" TargetMode="External"/><Relationship Id="rId57" Type="http://schemas.openxmlformats.org/officeDocument/2006/relationships/hyperlink" Target="https://www.google.com/maps/search/?api=1&amp;query=Snow%20%26%20Jones%2C%2085%20Accord%20Park%20Dr%2C%20Norwell%20MA%2002061" TargetMode="External"/><Relationship Id="rId58" Type="http://schemas.openxmlformats.org/officeDocument/2006/relationships/hyperlink" Target="https://snowandjones.com/" TargetMode="External"/><Relationship Id="rId59" Type="http://schemas.openxmlformats.org/officeDocument/2006/relationships/hyperlink" Target="https://www.google.com/maps/search/?api=1&amp;query=Airxchange%2C%2085%20Longwater%20Dr%2C%20Rockland%20MA%2002370" TargetMode="External"/><Relationship Id="rId60" Type="http://schemas.openxmlformats.org/officeDocument/2006/relationships/hyperlink" Target="https://airxchange.com/" TargetMode="External"/><Relationship Id="rId61" Type="http://schemas.openxmlformats.org/officeDocument/2006/relationships/hyperlink" Target="https://www.google.com/maps/search/?api=1&amp;query=Alternatives%20ABA%2C%2076%20Accord%20Park%20Dr%2C%20Norwell%20MA%2002061" TargetMode="External"/><Relationship Id="rId62" Type="http://schemas.openxmlformats.org/officeDocument/2006/relationships/hyperlink" Target="https://alternativesaba.com/" TargetMode="External"/><Relationship Id="rId63" Type="http://schemas.openxmlformats.org/officeDocument/2006/relationships/hyperlink" Target="https://www.google.com/maps/search/?api=1&amp;query=North%20River%20Home%20Care%2C%20275%20Longwater%20Dr%2C%20Norwell%20MA%2002061" TargetMode="External"/><Relationship Id="rId64" Type="http://schemas.openxmlformats.org/officeDocument/2006/relationships/hyperlink" Target="https://northriverhc.com/" TargetMode="External"/><Relationship Id="rId65" Type="http://schemas.openxmlformats.org/officeDocument/2006/relationships/hyperlink" Target="https://www.google.com/maps/search/?api=1&amp;query=Radio%20Solutions%2C%2055%20Accord%20Park%20Dr%2C%20Norwell%20MA%2002061" TargetMode="External"/><Relationship Id="rId66" Type="http://schemas.openxmlformats.org/officeDocument/2006/relationships/hyperlink" Target="https://radiosolutionsinc.com/" TargetMode="External"/><Relationship Id="rId67" Type="http://schemas.openxmlformats.org/officeDocument/2006/relationships/hyperlink" Target="https://www.google.com/maps/search/?api=1&amp;query=TryAngle%20Foods%2C%2017%20Accord%20Park%20Dr%2C%20Ste%20202%2C%20Norwell%20MA%2002061" TargetMode="External"/><Relationship Id="rId68" Type="http://schemas.openxmlformats.org/officeDocument/2006/relationships/hyperlink" Target="https://tryanglefoods.com/" TargetMode="External"/><Relationship Id="rId69" Type="http://schemas.openxmlformats.org/officeDocument/2006/relationships/hyperlink" Target="https://www.google.com/maps/search/?api=1&amp;query=Blue%20Bear%20Plumbing%2C%20Heating%20%26%20Air%2C%20300%20Longwater%20Dr%2C%20Norwell%20MA%2002061" TargetMode="External"/><Relationship Id="rId70" Type="http://schemas.openxmlformats.org/officeDocument/2006/relationships/hyperlink" Target="https://bluebearplumbing.com/" TargetMode="External"/><Relationship Id="rId71" Type="http://schemas.openxmlformats.org/officeDocument/2006/relationships/hyperlink" Target="https://www.google.com/maps/search/?api=1&amp;query=The%20Driscoll%20Agency%2C%20141%20Longwater%20Dr%2C%20Ste%20203%2C%20Norwell%20MA%2002061" TargetMode="External"/><Relationship Id="rId72" Type="http://schemas.openxmlformats.org/officeDocument/2006/relationships/hyperlink" Target="https://driscollagency.com/" TargetMode="External"/><Relationship Id="rId73" Type="http://schemas.openxmlformats.org/officeDocument/2006/relationships/hyperlink" Target="https://www.google.com/maps/search/?api=1&amp;query=Safety-Kleen%20%28Clean%20Harbors%29%2C%2042%20Longwater%20Dr%2C%20Norwell%20MA%2002061" TargetMode="External"/><Relationship Id="rId74" Type="http://schemas.openxmlformats.org/officeDocument/2006/relationships/hyperlink" Target="https://safety-kleen.com/" TargetMode="External"/><Relationship Id="rId75" Type="http://schemas.openxmlformats.org/officeDocument/2006/relationships/hyperlink" Target="https://www.google.com/maps/search/?api=1&amp;query=Sullivan%20Tire%2C%2041%20Accord%20Park%20Dr%2C%20Norwell%20MA%2002061" TargetMode="External"/><Relationship Id="rId76" Type="http://schemas.openxmlformats.org/officeDocument/2006/relationships/hyperlink" Target="https://sullivantire.com/" TargetMode="External"/><Relationship Id="rId77" Type="http://schemas.openxmlformats.org/officeDocument/2006/relationships/hyperlink" Target="https://www.google.com/maps/search/?api=1&amp;query=Signet%20Electronic%20Systems%2C%2090%20Longwater%20Dr%2C%20Norwell%20MA%2002061" TargetMode="External"/><Relationship Id="rId78" Type="http://schemas.openxmlformats.org/officeDocument/2006/relationships/hyperlink" Target="https://signetgroup.net/" TargetMode="External"/><Relationship Id="rId79" Type="http://schemas.openxmlformats.org/officeDocument/2006/relationships/hyperlink" Target="https://www.google.com/maps/search/?api=1&amp;query=South%20Shore%20Skin%20Center%2C%2075%20Washington%20St%2C%20Ste%201%2C%20Norwell%20MA%2002061" TargetMode="External"/><Relationship Id="rId80" Type="http://schemas.openxmlformats.org/officeDocument/2006/relationships/hyperlink" Target="https://southshoreskincenter.com/" TargetMode="External"/><Relationship Id="rId81" Type="http://schemas.openxmlformats.org/officeDocument/2006/relationships/hyperlink" Target="https://www.google.com/maps/search/?api=1&amp;query=Jack%20Conway%20%26%20Co.%2C%20137%20Washington%20St%2C%20Norwell%20MA%2002061" TargetMode="External"/><Relationship Id="rId82" Type="http://schemas.openxmlformats.org/officeDocument/2006/relationships/hyperlink" Target="https://jackconway.com/" TargetMode="External"/><Relationship Id="rId83" Type="http://schemas.openxmlformats.org/officeDocument/2006/relationships/hyperlink" Target="https://www.google.com/maps/search/?api=1&amp;query=Southwood%20at%20Norwell%20Nursing%20Center%2C%20501%20Cordwainer%20Dr%2C%20Norwell%20MA%2002061" TargetMode="External"/><Relationship Id="rId84" Type="http://schemas.openxmlformats.org/officeDocument/2006/relationships/hyperlink" Target="https://southwoodatnorwell.com/" TargetMode="External"/><Relationship Id="rId85" Type="http://schemas.openxmlformats.org/officeDocument/2006/relationships/hyperlink" Target="https://www.google.com/maps/search/?api=1&amp;query=Proven%20Behavior%20Solutions%2C%2080%20Washington%20St%2C%20Ste%20Q57%2C%20Norwell%20MA%2002061" TargetMode="External"/><Relationship Id="rId86" Type="http://schemas.openxmlformats.org/officeDocument/2006/relationships/hyperlink" Target="https://provenaba.com/" TargetMode="External"/><Relationship Id="rId87" Type="http://schemas.openxmlformats.org/officeDocument/2006/relationships/hyperlink" Target="https://www.google.com/maps/search/?api=1&amp;query=South%20Shore%20Autism%20Center%2C%2045%20Pond%20St%2C%20Norwell%20MA%2002061" TargetMode="External"/><Relationship Id="rId88" Type="http://schemas.openxmlformats.org/officeDocument/2006/relationships/hyperlink" Target="https://ssautismcenter.com/" TargetMode="External"/><Relationship Id="rId89" Type="http://schemas.openxmlformats.org/officeDocument/2006/relationships/hyperlink" Target="https://www.google.com/maps/search/?api=1&amp;query=LMHS%2C%20P.C.%2C%2080%20Washington%20St%2C%20Bldg%20S%2C%20Norwell%20MA%2002061" TargetMode="External"/><Relationship Id="rId90" Type="http://schemas.openxmlformats.org/officeDocument/2006/relationships/hyperlink" Target="https://lmhspc.com/" TargetMode="External"/><Relationship Id="rId91" Type="http://schemas.openxmlformats.org/officeDocument/2006/relationships/hyperlink" Target="https://www.google.com/maps/search/?api=1&amp;query=Oral%20Surgery%20South%2C%2080%20Washington%20St%2C%20Ste%20N51%2C%20Norwell%20MA%2002061" TargetMode="External"/><Relationship Id="rId92" Type="http://schemas.openxmlformats.org/officeDocument/2006/relationships/hyperlink" Target="https://oralsurgerysouth.com/" TargetMode="External"/><Relationship Id="rId93" Type="http://schemas.openxmlformats.org/officeDocument/2006/relationships/hyperlink" Target="https://www.google.com/maps/search/?api=1&amp;query=Arbour%20Counseling%20Services%2C%20384%20Washington%20St%2C%20Ste%20202%2C%20Norwell%20MA%2002061" TargetMode="External"/><Relationship Id="rId94" Type="http://schemas.openxmlformats.org/officeDocument/2006/relationships/hyperlink" Target="https://arbourhealth.com/" TargetMode="External"/><Relationship Id="rId95" Type="http://schemas.openxmlformats.org/officeDocument/2006/relationships/hyperlink" Target="https://www.google.com/maps/search/?api=1&amp;query=Friendship%20Home%2C%20458%20Main%20St%2C%20Norwell%20MA%2002061" TargetMode="External"/><Relationship Id="rId96" Type="http://schemas.openxmlformats.org/officeDocument/2006/relationships/hyperlink" Target="https://friendshiphome.net/" TargetMode="External"/><Relationship Id="rId97" Type="http://schemas.openxmlformats.org/officeDocument/2006/relationships/hyperlink" Target="https://www.google.com/maps/search/?api=1&amp;query=Dolomite%20Bio%20%28Blacktrace%20US%29%2C%20156%20Norwell%20Ave%2C%20Norwell%20MA%2002061" TargetMode="External"/><Relationship Id="rId98" Type="http://schemas.openxmlformats.org/officeDocument/2006/relationships/hyperlink" Target="https://dolomite-bio.com/" TargetMode="External"/><Relationship Id="rId99" Type="http://schemas.openxmlformats.org/officeDocument/2006/relationships/hyperlink" Target="https://www.google.com/maps/search/?api=1&amp;query=AJAX%20Jets%2C%20167%20Washington%20St%2C%20Norwell%20MA%2002061" TargetMode="External"/><Relationship Id="rId100" Type="http://schemas.openxmlformats.org/officeDocument/2006/relationships/hyperlink" Target="https://ajaxjets.com/" TargetMode="External"/><Relationship Id="rId101" Type="http://schemas.openxmlformats.org/officeDocument/2006/relationships/hyperlink" Target="https://www.google.com/maps/search/?api=1&amp;query=Cardinal%20Cushing%20Centers%2C%20405%20Washington%20St%2C%20Hanover%20MA%2002339" TargetMode="External"/><Relationship Id="rId102" Type="http://schemas.openxmlformats.org/officeDocument/2006/relationships/hyperlink" Target="https://cushingcenters.org/" TargetMode="External"/><Relationship Id="rId103" Type="http://schemas.openxmlformats.org/officeDocument/2006/relationships/hyperlink" Target="https://www.google.com/maps/search/?api=1&amp;query=Homestead%20Mortgage%2C%20427%20Columbia%20Rd%2C%20Ste%20114%2C%20Hanover%20MA%2002339" TargetMode="External"/><Relationship Id="rId104" Type="http://schemas.openxmlformats.org/officeDocument/2006/relationships/hyperlink" Target="https://myhomesteadmortgage.com/" TargetMode="External"/><Relationship Id="rId105" Type="http://schemas.openxmlformats.org/officeDocument/2006/relationships/hyperlink" Target="https://www.google.com/maps/search/?api=1&amp;query=First%20Resource%20Management%2C%202001%20Washington%20St%2C%20Hanover%20MA%2002339" TargetMode="External"/><Relationship Id="rId106" Type="http://schemas.openxmlformats.org/officeDocument/2006/relationships/hyperlink" Target="https://firstresourcecompanies.com/" TargetMode="External"/><Relationship Id="rId107" Type="http://schemas.openxmlformats.org/officeDocument/2006/relationships/hyperlink" Target="https://www.google.com/maps/search/?api=1&amp;query=Wozny/Barbar%20%26%20Associates%2C%201076%20Washington%20St%2C%20Hanover%20MA%2002339" TargetMode="External"/><Relationship Id="rId108" Type="http://schemas.openxmlformats.org/officeDocument/2006/relationships/hyperlink" Target="https://wbaengineers.com/" TargetMode="External"/><Relationship Id="rId109" Type="http://schemas.openxmlformats.org/officeDocument/2006/relationships/hyperlink" Target="https://www.google.com/maps/search/?api=1&amp;query=Merrill%20Associates%2C%20427%20Columbia%20Rd%2C%20Hanover%20MA%2002339" TargetMode="External"/><Relationship Id="rId110" Type="http://schemas.openxmlformats.org/officeDocument/2006/relationships/hyperlink" Target="https://merrillinc.com/" TargetMode="External"/><Relationship Id="rId111" Type="http://schemas.openxmlformats.org/officeDocument/2006/relationships/hyperlink" Target="https://www.google.com/maps/search/?api=1&amp;query=McGee%20Toyota%20of%20Hanover%2C%20860%20Washington%20St%2C%20Hanover%20MA%2002339" TargetMode="External"/><Relationship Id="rId112" Type="http://schemas.openxmlformats.org/officeDocument/2006/relationships/hyperlink" Target="https://mcgeetoyota.com/" TargetMode="External"/><Relationship Id="rId113" Type="http://schemas.openxmlformats.org/officeDocument/2006/relationships/hyperlink" Target="https://www.google.com/maps/search/?api=1&amp;query=Planet%20Subaru%2C%20596%20Washington%20St%2C%20Hanover%20MA%2002339" TargetMode="External"/><Relationship Id="rId114" Type="http://schemas.openxmlformats.org/officeDocument/2006/relationships/hyperlink" Target="https://planetsubaru.com/" TargetMode="External"/><Relationship Id="rId115" Type="http://schemas.openxmlformats.org/officeDocument/2006/relationships/hyperlink" Target="https://www.google.com/maps/search/?api=1&amp;query=Jannell%20Ford%2C%202000%20Washington%20St%2C%20Hanover%20MA%2002339" TargetMode="External"/><Relationship Id="rId116" Type="http://schemas.openxmlformats.org/officeDocument/2006/relationships/hyperlink" Target="https://jannellford.com/" TargetMode="External"/><Relationship Id="rId117" Type="http://schemas.openxmlformats.org/officeDocument/2006/relationships/hyperlink" Target="https://www.google.com/maps/search/?api=1&amp;query=P.A.%20Landers%2C%20351%20Winter%20St%2C%20Hanover%20MA%2002339" TargetMode="External"/><Relationship Id="rId118" Type="http://schemas.openxmlformats.org/officeDocument/2006/relationships/hyperlink" Target="https://palanders.com/" TargetMode="External"/><Relationship Id="rId119" Type="http://schemas.openxmlformats.org/officeDocument/2006/relationships/hyperlink" Target="https://www.google.com/maps/search/?api=1&amp;query=Buckley%20Associates%2C%20385%20King%20St%2C%20Hanover%20MA%2002339" TargetMode="External"/><Relationship Id="rId120" Type="http://schemas.openxmlformats.org/officeDocument/2006/relationships/hyperlink" Target="https://buckleyonline.com/" TargetMode="External"/><Relationship Id="rId121" Type="http://schemas.openxmlformats.org/officeDocument/2006/relationships/hyperlink" Target="https://www.google.com/maps/search/?api=1&amp;query=SRC%20Medical%2C%20263%20Winter%20St%2C%20Hanover%20MA%2002339" TargetMode="External"/><Relationship Id="rId122" Type="http://schemas.openxmlformats.org/officeDocument/2006/relationships/hyperlink" Target="https://srcmedical.com/" TargetMode="External"/><Relationship Id="rId123" Type="http://schemas.openxmlformats.org/officeDocument/2006/relationships/hyperlink" Target="https://www.google.com/maps/search/?api=1&amp;query=Hapco%2C%20353%20Circuit%20St%2C%20Hanover%20MA%2002339" TargetMode="External"/><Relationship Id="rId124" Type="http://schemas.openxmlformats.org/officeDocument/2006/relationships/hyperlink" Target="https://hapcoincorporated.com/" TargetMode="External"/><Relationship Id="rId125" Type="http://schemas.openxmlformats.org/officeDocument/2006/relationships/hyperlink" Target="https://www.google.com/maps/search/?api=1&amp;query=Gem%20Gravure%2C%20112%20School%20St%2C%20Hanover%20MA%2002339" TargetMode="External"/><Relationship Id="rId126" Type="http://schemas.openxmlformats.org/officeDocument/2006/relationships/hyperlink" Target="https://gemgravure.com/" TargetMode="External"/><Relationship Id="rId127" Type="http://schemas.openxmlformats.org/officeDocument/2006/relationships/hyperlink" Target="https://www.google.com/maps/search/?api=1&amp;query=Cri-Tech%20%28Daikin%29%2C%2085%20Winter%20St%2C%20Hanover%20MA%2002339" TargetMode="External"/><Relationship Id="rId128" Type="http://schemas.openxmlformats.org/officeDocument/2006/relationships/hyperlink" Target="https://critechinc.com/" TargetMode="External"/><Relationship Id="rId129" Type="http://schemas.openxmlformats.org/officeDocument/2006/relationships/hyperlink" Target="https://www.google.com/maps/search/?api=1&amp;query=A.%20Murphy%20Inc%2C%2035%20Hanover%20St%2C%20Hanover%20MA%2002339" TargetMode="External"/><Relationship Id="rId130" Type="http://schemas.openxmlformats.org/officeDocument/2006/relationships/hyperlink" Target="https://amurphy.com/" TargetMode="External"/><Relationship Id="rId131" Type="http://schemas.openxmlformats.org/officeDocument/2006/relationships/hyperlink" Target="https://www.google.com/maps/search/?api=1&amp;query=Eyesaver%20International%2C%20348%20Circuit%20St%2C%20Ste%202%2C%20Hanover%20MA%2002339" TargetMode="External"/><Relationship Id="rId132" Type="http://schemas.openxmlformats.org/officeDocument/2006/relationships/hyperlink" Target="https://eyesaverinternational.com/" TargetMode="External"/><Relationship Id="rId133" Type="http://schemas.openxmlformats.org/officeDocument/2006/relationships/hyperlink" Target="https://www.google.com/maps/search/?api=1&amp;query=Sturtevant%2C%20348%20Circuit%20St%2C%20Ste%201%2C%20Hanover%20MA%2002339" TargetMode="External"/><Relationship Id="rId134" Type="http://schemas.openxmlformats.org/officeDocument/2006/relationships/hyperlink" Target="https://sturtevantinc.com/" TargetMode="External"/><Relationship Id="rId135" Type="http://schemas.openxmlformats.org/officeDocument/2006/relationships/hyperlink" Target="https://www.google.com/maps/search/?api=1&amp;query=Lubrite%20Technologies%2C%20145%20Webster%20St%2C%20Ste%20J%2C%20Hanover%20MA%2002339" TargetMode="External"/><Relationship Id="rId136" Type="http://schemas.openxmlformats.org/officeDocument/2006/relationships/hyperlink" Target="https://lubritetechnologies.com/" TargetMode="External"/><Relationship Id="rId137" Type="http://schemas.openxmlformats.org/officeDocument/2006/relationships/hyperlink" Target="https://www.google.com/maps/search/?api=1&amp;query=South%20Shore%20YMCA%20%28Emilson%20Branch%20/%20Admin%29%2C%2075%20Mill%20St%2C%20Hanover%20MA%2002339" TargetMode="External"/><Relationship Id="rId138" Type="http://schemas.openxmlformats.org/officeDocument/2006/relationships/hyperlink" Target="https://ssymca.org/" TargetMode="External"/><Relationship Id="rId139" Type="http://schemas.openxmlformats.org/officeDocument/2006/relationships/hyperlink" Target="https://www.google.com/maps/search/?api=1&amp;query=Hingham%20Moving%20Services%2C%20285%20Circuit%20St%2C%20Hanover%20MA%2002339" TargetMode="External"/><Relationship Id="rId140" Type="http://schemas.openxmlformats.org/officeDocument/2006/relationships/hyperlink" Target="https://hinghammoving.com/" TargetMode="External"/><Relationship Id="rId141" Type="http://schemas.openxmlformats.org/officeDocument/2006/relationships/hyperlink" Target="https://www.google.com/maps/search/?api=1&amp;query=Burgopak%20USA%2C%2024%20Rockland%20St%2C%20Ste%205%2C%20Hanover%20MA%2002339" TargetMode="External"/><Relationship Id="rId142" Type="http://schemas.openxmlformats.org/officeDocument/2006/relationships/hyperlink" Target="https://burgopak.com/" TargetMode="External"/><Relationship Id="rId143" Type="http://schemas.openxmlformats.org/officeDocument/2006/relationships/hyperlink" Target="https://www.google.com/maps/search/?api=1&amp;query=Royal%20Health%20Group%2C%2042%20Winter%20St%2C%20Pembroke%20MA%2002359" TargetMode="External"/><Relationship Id="rId144" Type="http://schemas.openxmlformats.org/officeDocument/2006/relationships/hyperlink" Target="https://royalhealthgroup.com/" TargetMode="External"/><Relationship Id="rId145" Type="http://schemas.openxmlformats.org/officeDocument/2006/relationships/hyperlink" Target="https://www.google.com/maps/search/?api=1&amp;query=FMC%20Ice%20Sports%2C%20100%20Schoosett%20St%2C%20Bldg%203%2C%20Pembroke%20MA%2002359" TargetMode="External"/><Relationship Id="rId146" Type="http://schemas.openxmlformats.org/officeDocument/2006/relationships/hyperlink" Target="https://fmcicesports.com/" TargetMode="External"/><Relationship Id="rId147" Type="http://schemas.openxmlformats.org/officeDocument/2006/relationships/hyperlink" Target="https://www.google.com/maps/search/?api=1&amp;query=Thayer%20Scale%2C%2091%20Schoosett%20St%2C%20Pembroke%20MA%2002359" TargetMode="External"/><Relationship Id="rId148" Type="http://schemas.openxmlformats.org/officeDocument/2006/relationships/hyperlink" Target="https://thayerscale.com/" TargetMode="External"/><Relationship Id="rId149" Type="http://schemas.openxmlformats.org/officeDocument/2006/relationships/hyperlink" Target="https://www.google.com/maps/search/?api=1&amp;query=Nelco%20Products%2C%2022%20Riverside%20Dr%2C%20Pembroke%20MA%2002359" TargetMode="External"/><Relationship Id="rId150" Type="http://schemas.openxmlformats.org/officeDocument/2006/relationships/hyperlink" Target="https://nelcoproducts.com/" TargetMode="External"/><Relationship Id="rId151" Type="http://schemas.openxmlformats.org/officeDocument/2006/relationships/hyperlink" Target="https://www.google.com/maps/search/?api=1&amp;query=New%20England%20Village%2C%20664%20School%20St%2C%20Pembroke%20MA%2002359" TargetMode="External"/><Relationship Id="rId152" Type="http://schemas.openxmlformats.org/officeDocument/2006/relationships/hyperlink" Target="https://newenglandvillage.org/" TargetMode="External"/><Relationship Id="rId153" Type="http://schemas.openxmlformats.org/officeDocument/2006/relationships/hyperlink" Target="https://www.google.com/maps/search/?api=1&amp;query=Preferred%20Mechanical%20Services%2C%20223%20Center%20St%2C%20Pembroke%20MA%2002359" TargetMode="External"/><Relationship Id="rId154" Type="http://schemas.openxmlformats.org/officeDocument/2006/relationships/hyperlink" Target="https://preferredmechanicalservices.com/" TargetMode="External"/><Relationship Id="rId155" Type="http://schemas.openxmlformats.org/officeDocument/2006/relationships/hyperlink" Target="https://www.google.com/maps/search/?api=1&amp;query=Your%20Electrical%20Solution%2C%20345%20Washington%20St%2C%20Pembroke%20MA%2002359" TargetMode="External"/><Relationship Id="rId156" Type="http://schemas.openxmlformats.org/officeDocument/2006/relationships/hyperlink" Target="https://yourelectricalsolutions.com/" TargetMode="External"/><Relationship Id="rId157" Type="http://schemas.openxmlformats.org/officeDocument/2006/relationships/hyperlink" Target="https://www.google.com/maps/search/?api=1&amp;query=Revenue%20Solutions%20%28RSI%29%2C%2042%20Winter%20St%2C%20Ste%2036%2C%20Pembroke%20MA%2002359" TargetMode="External"/><Relationship Id="rId158" Type="http://schemas.openxmlformats.org/officeDocument/2006/relationships/hyperlink" Target="https://rsidelivers.com/" TargetMode="External"/><Relationship Id="rId159" Type="http://schemas.openxmlformats.org/officeDocument/2006/relationships/hyperlink" Target="https://www.google.com/maps/search/?api=1&amp;query=Acella%20Construction%2C%2038%20Washington%20St%2C%20Pembroke%20MA%2002359" TargetMode="External"/><Relationship Id="rId160" Type="http://schemas.openxmlformats.org/officeDocument/2006/relationships/hyperlink" Target="https://acellaconstruction.com/" TargetMode="External"/><Relationship Id="rId161" Type="http://schemas.openxmlformats.org/officeDocument/2006/relationships/hyperlink" Target="https://www.google.com/maps/search/?api=1&amp;query=Ritchie%20Navigation%2C%20243%20Oak%20St%2C%20Pembroke%20MA%2002359" TargetMode="External"/><Relationship Id="rId162" Type="http://schemas.openxmlformats.org/officeDocument/2006/relationships/hyperlink" Target="https://ritchienavigation.com/" TargetMode="External"/><Relationship Id="rId163" Type="http://schemas.openxmlformats.org/officeDocument/2006/relationships/hyperlink" Target="https://www.google.com/maps/search/?api=1&amp;query=Protectowire%20FireSystems%2C%2060%20Washington%20St%2C%20Pembroke%20MA%2002359" TargetMode="External"/><Relationship Id="rId164" Type="http://schemas.openxmlformats.org/officeDocument/2006/relationships/hyperlink" Target="https://protectowire.com/" TargetMode="External"/><Relationship Id="rId165" Type="http://schemas.openxmlformats.org/officeDocument/2006/relationships/hyperlink" Target="https://www.google.com/maps/search/?api=1&amp;query=FCI%20Ophthalmics%2C%2030%20Corporate%20Park%20Dr%2C%20Ste%20310%2C%20Pembroke%20MA%2002359" TargetMode="External"/><Relationship Id="rId166" Type="http://schemas.openxmlformats.org/officeDocument/2006/relationships/hyperlink" Target="https://fci-ophthalmics.com/" TargetMode="External"/><Relationship Id="rId167" Type="http://schemas.openxmlformats.org/officeDocument/2006/relationships/hyperlink" Target="https://www.google.com/maps/search/?api=1&amp;query=Entegee%20/%20The%20Engineering%20Department%2C%2033%20Riverside%20Dr%2C%20Pembroke%20MA%2002359" TargetMode="External"/><Relationship Id="rId168" Type="http://schemas.openxmlformats.org/officeDocument/2006/relationships/hyperlink" Target="https://entegee.com/" TargetMode="External"/><Relationship Id="rId169" Type="http://schemas.openxmlformats.org/officeDocument/2006/relationships/hyperlink" Target="https://www.google.com/maps/search/?api=1&amp;query=Horner%20Millwork%2C%2055%20Corporate%20Park%20Dr%2C%20Ste%201%2C%20Pembroke%20MA%2002359" TargetMode="External"/><Relationship Id="rId170" Type="http://schemas.openxmlformats.org/officeDocument/2006/relationships/hyperlink" Target="https://hornermillwork.com/" TargetMode="External"/><Relationship Id="rId171" Type="http://schemas.openxmlformats.org/officeDocument/2006/relationships/hyperlink" Target="https://www.google.com/maps/search/?api=1&amp;query=Markings%20Inc%2C%2030%20Riverside%20Dr%2C%20Pembroke%20MA%2002359" TargetMode="External"/><Relationship Id="rId172" Type="http://schemas.openxmlformats.org/officeDocument/2006/relationships/hyperlink" Target="https://markingsinc.com/" TargetMode="External"/><Relationship Id="rId173" Type="http://schemas.openxmlformats.org/officeDocument/2006/relationships/hyperlink" Target="https://www.google.com/maps/search/?api=1&amp;query=Peak%20Mechanical%20Services%2C%2035%20Corporate%20Park%20Dr%2C%20Ste%202%2C%20Pembroke%20MA%2002359" TargetMode="External"/><Relationship Id="rId174" Type="http://schemas.openxmlformats.org/officeDocument/2006/relationships/hyperlink" Target="https://peakmechanicalservices.com/" TargetMode="External"/><Relationship Id="rId175" Type="http://schemas.openxmlformats.org/officeDocument/2006/relationships/hyperlink" Target="https://www.google.com/maps/search/?api=1&amp;query=Charm%20Medical%20Supply%2C%2033%20Riverside%20Dr%2C%20Ste%20200%2C%20Pembroke%20MA%2002359" TargetMode="External"/><Relationship Id="rId176" Type="http://schemas.openxmlformats.org/officeDocument/2006/relationships/hyperlink" Target="https://charmmedical.com/" TargetMode="External"/><Relationship Id="rId177" Type="http://schemas.openxmlformats.org/officeDocument/2006/relationships/hyperlink" Target="https://www.google.com/maps/search/?api=1&amp;query=Cadete%20Enterprises%2C%2012%20Riverside%20Dr%2C%20Pembroke%20MA%2002359" TargetMode="External"/><Relationship Id="rId178" Type="http://schemas.openxmlformats.org/officeDocument/2006/relationships/hyperlink" Target="https://cadeteenterprises.com/" TargetMode="External"/><Relationship Id="rId179" Type="http://schemas.openxmlformats.org/officeDocument/2006/relationships/hyperlink" Target="https://www.google.com/maps/search/?api=1&amp;query=JLC%20Tech%2C%20370%20Corporate%20Park%20Dr%2C%20Pembroke%20MA%2002359" TargetMode="External"/><Relationship Id="rId180" Type="http://schemas.openxmlformats.org/officeDocument/2006/relationships/hyperlink" Target="https://jlc-tech.com/" TargetMode="External"/><Relationship Id="rId181" Type="http://schemas.openxmlformats.org/officeDocument/2006/relationships/hyperlink" Target="https://www.google.com/maps/search/?api=1&amp;query=T%26K%20Asphalt%20Services%2C%207%20Industrial%20Way%2C%20Whitman%20MA%2002382" TargetMode="External"/><Relationship Id="rId182" Type="http://schemas.openxmlformats.org/officeDocument/2006/relationships/hyperlink" Target="https://tkasphalt.com/" TargetMode="External"/><Relationship Id="rId183" Type="http://schemas.openxmlformats.org/officeDocument/2006/relationships/hyperlink" Target="https://www.google.com/maps/search/?api=1&amp;query=Cape%20Cod%20Lumber%2C%20225%20Groveland%20St%2C%20Abington%20MA%2002351" TargetMode="External"/><Relationship Id="rId184" Type="http://schemas.openxmlformats.org/officeDocument/2006/relationships/hyperlink" Target="https://capecodlumber.com/" TargetMode="External"/><Relationship Id="rId185" Type="http://schemas.openxmlformats.org/officeDocument/2006/relationships/hyperlink" Target="https://www.google.com/maps/search/?api=1&amp;query=Southeastern%20ABA%2C%20116%20Helen%20Dr%2C%20Hanson%20MA%2002341" TargetMode="External"/><Relationship Id="rId186" Type="http://schemas.openxmlformats.org/officeDocument/2006/relationships/hyperlink" Target="https://southeasternaba.com/" TargetMode="External"/><Relationship Id="rId187" Type="http://schemas.openxmlformats.org/officeDocument/2006/relationships/hyperlink" Target="https://www.google.com/maps/search/?api=1&amp;query=Sullivan%27s%20Inc%2C%20121%20Franklin%20St%2C%20Hanson%20MA%2002341" TargetMode="External"/><Relationship Id="rId188" Type="http://schemas.openxmlformats.org/officeDocument/2006/relationships/hyperlink" Target="https://sullivansusa.com/" TargetMode="External"/><Relationship Id="rId189" Type="http://schemas.openxmlformats.org/officeDocument/2006/relationships/hyperlink" Target="https://www.google.com/maps/search/?api=1&amp;query=Seoane%20Landscape%20Design%2C%20551%20Bedford%20St%2C%20Abington%20MA%2002351" TargetMode="External"/><Relationship Id="rId190" Type="http://schemas.openxmlformats.org/officeDocument/2006/relationships/hyperlink" Target="https://seoanelandscape.com/" TargetMode="External"/><Relationship Id="rId191" Type="http://schemas.openxmlformats.org/officeDocument/2006/relationships/hyperlink" Target="https://www.google.com/maps/search/?api=1&amp;query=Whitman%20Company%2C%20356%20South%20Ave%2C%20Whitman%20MA%2002382" TargetMode="External"/><Relationship Id="rId192" Type="http://schemas.openxmlformats.org/officeDocument/2006/relationships/hyperlink" Target="https://whitman-company.com/" TargetMode="External"/><Relationship Id="rId193" Type="http://schemas.openxmlformats.org/officeDocument/2006/relationships/hyperlink" Target="https://www.google.com/maps/search/?api=1&amp;query=Defense%20Investigators%20Group%2C%20PO%20Box%20119%20%28call%20ahead%29%2C%20Hanson%20MA%2002341" TargetMode="External"/><Relationship Id="rId194" Type="http://schemas.openxmlformats.org/officeDocument/2006/relationships/hyperlink" Target="https://defenseinvestigatorsgroup.com/" TargetMode="External"/><Relationship Id="rId195" Type="http://schemas.openxmlformats.org/officeDocument/2006/relationships/hyperlink" Target="https://www.google.com/maps/search/?api=1&amp;query=Walsh%20Mechanical%20Contractors%2C%20380%20North%20Ave%2C%20Abington%20MA%2002351" TargetMode="External"/><Relationship Id="rId196" Type="http://schemas.openxmlformats.org/officeDocument/2006/relationships/hyperlink" Target="https://walshmechanical.com/" TargetMode="External"/><Relationship Id="rId197" Type="http://schemas.openxmlformats.org/officeDocument/2006/relationships/hyperlink" Target="https://www.google.com/maps/search/?api=1&amp;query=Webster%20Printing%2C%201069%20W%20Washington%20St%2C%20Hanson%20MA%2002341" TargetMode="External"/><Relationship Id="rId198" Type="http://schemas.openxmlformats.org/officeDocument/2006/relationships/hyperlink" Target="https://websterprinting.com/" TargetMode="External"/><Relationship Id="rId199" Type="http://schemas.openxmlformats.org/officeDocument/2006/relationships/hyperlink" Target="https://www.google.com/maps/search/?api=1&amp;query=Whitman%20Tool%20%26%20Die%2C%2072%20Raynor%20Ave%2C%20Whitman%20MA%2002382" TargetMode="External"/><Relationship Id="rId200" Type="http://schemas.openxmlformats.org/officeDocument/2006/relationships/hyperlink" Target="https://whitmantoolanddie.com/" TargetMode="External"/><Relationship Id="rId201" Type="http://schemas.openxmlformats.org/officeDocument/2006/relationships/hyperlink" Target="https://www.google.com/maps/search/?api=1&amp;query=President%20Titanium%2C%20243%20Franklin%20St%2C%20Hanson%20MA%2002341" TargetMode="External"/><Relationship Id="rId202" Type="http://schemas.openxmlformats.org/officeDocument/2006/relationships/hyperlink" Target="https://presidenttitanium.com/" TargetMode="External"/><Relationship Id="rId203" Type="http://schemas.openxmlformats.org/officeDocument/2006/relationships/hyperlink" Target="https://www.google.com/maps/search/?api=1&amp;query=Clean%20Systems%20of%20America%2C%20162%20Industrial%20Blvd%2C%20Ste%204%2C%20Hanson%20MA%2002341" TargetMode="External"/><Relationship Id="rId204" Type="http://schemas.openxmlformats.org/officeDocument/2006/relationships/hyperlink" Target="https://clean-systems.com/" TargetMode="External"/><Relationship Id="rId205" Type="http://schemas.openxmlformats.org/officeDocument/2006/relationships/hyperlink" Target="https://www.google.com/maps/search/?api=1&amp;query=Angels%20Healthcare%20Companies%2C%20536%20Washington%20St%2C%20Abington%20MA%2002351" TargetMode="External"/><Relationship Id="rId206" Type="http://schemas.openxmlformats.org/officeDocument/2006/relationships/hyperlink" Target="https://angelshealthcare.com/" TargetMode="External"/><Relationship Id="rId207" Type="http://schemas.openxmlformats.org/officeDocument/2006/relationships/hyperlink" Target="https://www.google.com/maps/search/?api=1&amp;query=South%20Shore%20Bank%2C%201530%20Main%20St%2C%20Weymouth%20MA%2002190" TargetMode="External"/><Relationship Id="rId208" Type="http://schemas.openxmlformats.org/officeDocument/2006/relationships/hyperlink" Target="https://southshorebank.com/" TargetMode="External"/><Relationship Id="rId209" Type="http://schemas.openxmlformats.org/officeDocument/2006/relationships/hyperlink" Target="https://www.google.com/maps/search/?api=1&amp;query=Electroswitch%2C%20180%20King%20Ave%2C%20Weymouth%20MA%2002188" TargetMode="External"/><Relationship Id="rId210" Type="http://schemas.openxmlformats.org/officeDocument/2006/relationships/hyperlink" Target="https://electroswitch.com/" TargetMode="External"/><Relationship Id="rId211" Type="http://schemas.openxmlformats.org/officeDocument/2006/relationships/hyperlink" Target="https://www.google.com/maps/search/?api=1&amp;query=Coastal%20Heritage%20Bank%2C%20195%20Washington%20St%2C%20Weymouth%20MA%2002188" TargetMode="External"/><Relationship Id="rId212" Type="http://schemas.openxmlformats.org/officeDocument/2006/relationships/hyperlink" Target="https://coastalheritagebank.com/" TargetMode="External"/><Relationship Id="rId213" Type="http://schemas.openxmlformats.org/officeDocument/2006/relationships/hyperlink" Target="https://www.google.com/maps/search/?api=1&amp;query=Healthcare%20South%2C%20223%20Chief%20Justice%20Cushing%20Hwy%20Ste%20101%2C%20Cohasset%20MA%2002025" TargetMode="External"/><Relationship Id="rId214" Type="http://schemas.openxmlformats.org/officeDocument/2006/relationships/hyperlink" Target="https://healthcaresouth.com/" TargetMode="External"/><Relationship Id="rId215" Type="http://schemas.openxmlformats.org/officeDocument/2006/relationships/hyperlink" Target="https://www.google.com/maps/search/?api=1&amp;query=Massa%20Products%2C%20280%20Lincoln%20St%2C%20Hingham%20MA%2002043" TargetMode="External"/><Relationship Id="rId216" Type="http://schemas.openxmlformats.org/officeDocument/2006/relationships/hyperlink" Target="https://massa.com/" TargetMode="External"/><Relationship Id="rId217" Type="http://schemas.openxmlformats.org/officeDocument/2006/relationships/hyperlink" Target="https://www.google.com/maps/search/?api=1&amp;query=Hingham%20Institution%20for%20Savings%2C%2055%20Main%20St%2C%20Hingham%20MA%2002043" TargetMode="External"/><Relationship Id="rId218" Type="http://schemas.openxmlformats.org/officeDocument/2006/relationships/hyperlink" Target="https://hinghamsavings.com/" TargetMode="External"/><Relationship Id="rId219" Type="http://schemas.openxmlformats.org/officeDocument/2006/relationships/hyperlink" Target="https://www.google.com/maps/search/?api=1&amp;query=Hingham%20Lumber%2C%20165%20Chief%20Justice%20Cushing%20Hwy%2C%20Cohasset%20MA%2002025" TargetMode="External"/><Relationship Id="rId220" Type="http://schemas.openxmlformats.org/officeDocument/2006/relationships/hyperlink" Target="https://hinghamlumber.com/" TargetMode="External"/><Relationship Id="rId221" Type="http://schemas.openxmlformats.org/officeDocument/2006/relationships/hyperlink" Target="https://www.google.com/maps/search/?api=1&amp;query=Dynavac%2C%20110%20Industrial%20Park%20Rd%2C%20Hingham%20MA%2002043" TargetMode="External"/><Relationship Id="rId222" Type="http://schemas.openxmlformats.org/officeDocument/2006/relationships/hyperlink" Target="https://dynavac.com/" TargetMode="External"/><Relationship Id="rId223" Type="http://schemas.openxmlformats.org/officeDocument/2006/relationships/hyperlink" Target="https://www.google.com/maps/search/?api=1&amp;query=South%20Shore%20Orthopedics%2C%202%20Pond%20Park%20Rd%20Ste%20102%2C%20Hingham%20MA%2002043" TargetMode="External"/><Relationship Id="rId224" Type="http://schemas.openxmlformats.org/officeDocument/2006/relationships/hyperlink" Target="https://southshoreorthopedics.com/" TargetMode="External"/><Relationship Id="rId225" Type="http://schemas.openxmlformats.org/officeDocument/2006/relationships/hyperlink" Target="https://www.google.com/maps/search/?api=1&amp;query=AJA%20International%2C%20809%20Country%20Way%2C%20Scituate%20MA%2002066" TargetMode="External"/><Relationship Id="rId226" Type="http://schemas.openxmlformats.org/officeDocument/2006/relationships/hyperlink" Target="https://ajaint.com/" TargetMode="External"/><Relationship Id="rId227" Type="http://schemas.openxmlformats.org/officeDocument/2006/relationships/hyperlink" Target="https://www.google.com/maps/search/?api=1&amp;query=Edward%20G.%20Sawyer%20Co.%2C%20260%20Libbey%20Industrial%20Pkwy%2C%20Weymouth%20MA%2002189" TargetMode="External"/><Relationship Id="rId228" Type="http://schemas.openxmlformats.org/officeDocument/2006/relationships/hyperlink" Target="https://egsawyer.com/" TargetMode="External"/><Relationship Id="rId229" Type="http://schemas.openxmlformats.org/officeDocument/2006/relationships/hyperlink" Target="https://www.google.com/maps/search/?api=1&amp;query=Harold%20Brothers%20Mechanical%2C%2044%20Woodrock%20Rd%20Ste%201%2C%20Weymouth%20MA%2002189" TargetMode="External"/><Relationship Id="rId230" Type="http://schemas.openxmlformats.org/officeDocument/2006/relationships/hyperlink" Target="https://haroldbros.com/" TargetMode="External"/><Relationship Id="rId231" Type="http://schemas.openxmlformats.org/officeDocument/2006/relationships/hyperlink" Target="https://www.google.com/maps/search/?api=1&amp;query=Harbor%20Clinical%2C%2094%20Otis%20St%2C%20Hingham%20MA%2002043" TargetMode="External"/><Relationship Id="rId232" Type="http://schemas.openxmlformats.org/officeDocument/2006/relationships/hyperlink" Target="https://harborclinical.com/" TargetMode="External"/><Relationship Id="rId233" Type="http://schemas.openxmlformats.org/officeDocument/2006/relationships/hyperlink" Target="https://www.google.com/maps/search/?api=1&amp;query=Wellness%20Workdays%2C%2021%20Fottler%20Rd%2C%20Hingham%20MA%2002043" TargetMode="External"/><Relationship Id="rId234" Type="http://schemas.openxmlformats.org/officeDocument/2006/relationships/hyperlink" Target="https://wellnessworkdays.com/" TargetMode="External"/><Relationship Id="rId235" Type="http://schemas.openxmlformats.org/officeDocument/2006/relationships/hyperlink" Target="https://www.google.com/maps/search/?api=1&amp;query=O2X%20Human%20Performance%2C%201%20Mill%20Wharf%20Plz%20Ste%20S12%2C%20Scituate%20MA%2002066" TargetMode="External"/><Relationship Id="rId236" Type="http://schemas.openxmlformats.org/officeDocument/2006/relationships/hyperlink" Target="https://o2x.com/" TargetMode="External"/><Relationship Id="rId237" Type="http://schemas.openxmlformats.org/officeDocument/2006/relationships/hyperlink" Target="https://www.google.com/maps/search/?api=1&amp;query=Queen%20Anne%27s%20Nursing%20Home%2C%2050%20Recreation%20Park%20Dr%2C%20Hingham%20MA%2002043" TargetMode="External"/><Relationship Id="rId238" Type="http://schemas.openxmlformats.org/officeDocument/2006/relationships/hyperlink" Target="https://queenannenh.com/" TargetMode="External"/><Relationship Id="rId239" Type="http://schemas.openxmlformats.org/officeDocument/2006/relationships/hyperlink" Target="https://www.google.com/maps/search/?api=1&amp;query=McDonald%20Electric%2C%2072%20Sharp%20St%20Ste%20C8%2C%20Hingham%20MA%2002043" TargetMode="External"/><Relationship Id="rId240" Type="http://schemas.openxmlformats.org/officeDocument/2006/relationships/hyperlink" Target="https://mcdonaldcorp.com/" TargetMode="External"/><Relationship Id="rId241" Type="http://schemas.openxmlformats.org/officeDocument/2006/relationships/hyperlink" Target="https://www.google.com/maps/search/?api=1&amp;query=New%20England%20Hospice%2C%20190%20Old%20Derby%20St%20Ste%20304%2C%20Hingham%20MA%2002043" TargetMode="External"/><Relationship Id="rId242" Type="http://schemas.openxmlformats.org/officeDocument/2006/relationships/hyperlink" Target="https://newenglandhospice.com/" TargetMode="External"/><Relationship Id="rId243" Type="http://schemas.openxmlformats.org/officeDocument/2006/relationships/hyperlink" Target="https://www.google.com/maps/search/?api=1&amp;query=Hennigan%20Engineering%2C%2055%20Industrial%20Park%20Rd%2C%20Hingham%20MA%2002043" TargetMode="External"/><Relationship Id="rId244" Type="http://schemas.openxmlformats.org/officeDocument/2006/relationships/hyperlink" Target="https://henniganengineering.com/" TargetMode="External"/><Relationship Id="rId245" Type="http://schemas.openxmlformats.org/officeDocument/2006/relationships/hyperlink" Target="https://www.google.com/maps/search/?api=1&amp;query=Hart%20Supply%2C%2050%20Pond%20Park%20Rd%2C%20Hingham%20MA%2002043" TargetMode="External"/><Relationship Id="rId246" Type="http://schemas.openxmlformats.org/officeDocument/2006/relationships/hyperlink" Target="https://hartsupply.com/" TargetMode="External"/><Relationship Id="rId247" Type="http://schemas.openxmlformats.org/officeDocument/2006/relationships/hyperlink" Target="https://www.google.com/maps/search/?api=1&amp;query=Boxerbrand%2C%20293%20Libbey%20Industrial%20Pkwy%20Ste%20500%2C%20Weymouth%20MA%2002189" TargetMode="External"/><Relationship Id="rId248" Type="http://schemas.openxmlformats.org/officeDocument/2006/relationships/hyperlink" Target="https://boxerbrand.com/" TargetMode="External"/><Relationship Id="rId249" Type="http://schemas.openxmlformats.org/officeDocument/2006/relationships/hyperlink" Target="https://www.google.com/maps/search/?api=1&amp;query=Bay%20State%20Milling%2C%20100%20Congress%20St%20Ste%202%2C%20Quincy%20MA%2002169" TargetMode="External"/><Relationship Id="rId250" Type="http://schemas.openxmlformats.org/officeDocument/2006/relationships/hyperlink" Target="https://baystatemilling.com/" TargetMode="External"/><Relationship Id="rId251" Type="http://schemas.openxmlformats.org/officeDocument/2006/relationships/hyperlink" Target="https://www.google.com/maps/search/?api=1&amp;query=Manet%20Community%20Health%20Center%2C%20110%20W%20Squantum%20St%20Ste%208%2C%20Quincy%20MA%2002171" TargetMode="External"/><Relationship Id="rId252" Type="http://schemas.openxmlformats.org/officeDocument/2006/relationships/hyperlink" Target="https://manetchc.org/" TargetMode="External"/><Relationship Id="rId253" Type="http://schemas.openxmlformats.org/officeDocument/2006/relationships/hyperlink" Target="https://www.google.com/maps/search/?api=1&amp;query=Quincy%20Mutual%20Group%2C%2057%20Washington%20St%2C%20Quincy%20MA%2002169" TargetMode="External"/><Relationship Id="rId254" Type="http://schemas.openxmlformats.org/officeDocument/2006/relationships/hyperlink" Target="https://newenglandmutual.com/" TargetMode="External"/><Relationship Id="rId255" Type="http://schemas.openxmlformats.org/officeDocument/2006/relationships/hyperlink" Target="https://www.google.com/maps/search/?api=1&amp;query=XS%20Brokers%2C%2013%20Temple%20St%20Fl%201%2C%20Quincy%20MA%2002169" TargetMode="External"/><Relationship Id="rId256" Type="http://schemas.openxmlformats.org/officeDocument/2006/relationships/hyperlink" Target="https://xsbrokers.com/" TargetMode="External"/><Relationship Id="rId257" Type="http://schemas.openxmlformats.org/officeDocument/2006/relationships/hyperlink" Target="https://www.google.com/maps/search/?api=1&amp;query=Twin%20Rivers%20Technologies%2C%20780%20Washington%20St%2C%20Quincy%20MA%2002169" TargetMode="External"/><Relationship Id="rId258" Type="http://schemas.openxmlformats.org/officeDocument/2006/relationships/hyperlink" Target="https://twinriverstechnologies.com/" TargetMode="External"/><Relationship Id="rId259" Type="http://schemas.openxmlformats.org/officeDocument/2006/relationships/hyperlink" Target="https://www.google.com/maps/search/?api=1&amp;query=MCMC%2C%20300%20Crown%20Colony%20Dr%20Ste%20203%2C%20Quincy%20MA%2002169" TargetMode="External"/><Relationship Id="rId260" Type="http://schemas.openxmlformats.org/officeDocument/2006/relationships/hyperlink" Target="https://mcmcllc.com/" TargetMode="External"/><Relationship Id="rId261" Type="http://schemas.openxmlformats.org/officeDocument/2006/relationships/hyperlink" Target="https://www.google.com/maps/search/?api=1&amp;query=Granite%20City%20Electric%20Supply%2C%2019%20Quincy%20Ave%2C%20Quincy%20MA%2002169" TargetMode="External"/><Relationship Id="rId262" Type="http://schemas.openxmlformats.org/officeDocument/2006/relationships/hyperlink" Target="https://granitecityelectric.com/" TargetMode="External"/><Relationship Id="rId263" Type="http://schemas.openxmlformats.org/officeDocument/2006/relationships/hyperlink" Target="https://www.google.com/maps/search/?api=1&amp;query=Lee%20Kennedy%20Co.%2C%20122%20Quincy%20Shore%20Dr%2C%20Quincy%20MA%2002171" TargetMode="External"/><Relationship Id="rId264" Type="http://schemas.openxmlformats.org/officeDocument/2006/relationships/hyperlink" Target="https://leekennedy.com/" TargetMode="External"/><Relationship Id="rId265" Type="http://schemas.openxmlformats.org/officeDocument/2006/relationships/hyperlink" Target="https://www.google.com/maps/search/?api=1&amp;query=Bay%20State%20Community%20Services%2C%201120%20Hancock%20St%2C%20Quincy%20MA%2002169" TargetMode="External"/><Relationship Id="rId266" Type="http://schemas.openxmlformats.org/officeDocument/2006/relationships/hyperlink" Target="https://baystatecs.org/" TargetMode="External"/><Relationship Id="rId267" Type="http://schemas.openxmlformats.org/officeDocument/2006/relationships/hyperlink" Target="https://www.google.com/maps/search/?api=1&amp;query=Best%20of%20Care%2C%201250%20Hancock%20St%20Ste%20501S%2C%20Quincy%20MA%2002169" TargetMode="External"/><Relationship Id="rId268" Type="http://schemas.openxmlformats.org/officeDocument/2006/relationships/hyperlink" Target="https://bestofcareinc.com/" TargetMode="External"/><Relationship Id="rId269" Type="http://schemas.openxmlformats.org/officeDocument/2006/relationships/hyperlink" Target="https://www.google.com/maps/search/?api=1&amp;query=Housing%20Management%20Resources%2C%20500%20Victory%20Rd%20Ste%205%2C%20Quincy%20MA%2002171" TargetMode="External"/><Relationship Id="rId270" Type="http://schemas.openxmlformats.org/officeDocument/2006/relationships/hyperlink" Target="https://hmrproperties.com/" TargetMode="External"/><Relationship Id="rId271" Type="http://schemas.openxmlformats.org/officeDocument/2006/relationships/hyperlink" Target="https://www.google.com/maps/search/?api=1&amp;query=South%20Cove%20Manor%2C%20288%20Washington%20St%2C%20Quincy%20MA%2002169" TargetMode="External"/><Relationship Id="rId272" Type="http://schemas.openxmlformats.org/officeDocument/2006/relationships/hyperlink" Target="https://southcovemanor.org/" TargetMode="External"/><Relationship Id="rId273" Type="http://schemas.openxmlformats.org/officeDocument/2006/relationships/hyperlink" Target="https://www.google.com/maps/search/?api=1&amp;query=Dellbrook%20JKS%2C%20859%20Willard%20St%2C%20Quincy%20MA%2002169" TargetMode="External"/><Relationship Id="rId274" Type="http://schemas.openxmlformats.org/officeDocument/2006/relationships/hyperlink" Target="https://dellbrookjks.com/" TargetMode="External"/><Relationship Id="rId275" Type="http://schemas.openxmlformats.org/officeDocument/2006/relationships/hyperlink" Target="https://www.google.com/maps/search/?api=1&amp;query=Stran%20%26%20Company%2C%20500%20Victory%20Rd%20Ste%20301%2C%20Quincy%20MA%2002171" TargetMode="External"/><Relationship Id="rId276" Type="http://schemas.openxmlformats.org/officeDocument/2006/relationships/hyperlink" Target="https://stran.com/" TargetMode="External"/><Relationship Id="rId277" Type="http://schemas.openxmlformats.org/officeDocument/2006/relationships/hyperlink" Target="https://www.google.com/maps/search/?api=1&amp;query=J.%20Calnan%20%26%20Associates%2C%203%20Batterymarch%20Park%20Fl%205%2C%20Quincy%20MA%2002169" TargetMode="External"/><Relationship Id="rId278" Type="http://schemas.openxmlformats.org/officeDocument/2006/relationships/hyperlink" Target="https://jcalnan.com/" TargetMode="External"/><Relationship Id="rId279" Type="http://schemas.openxmlformats.org/officeDocument/2006/relationships/hyperlink" Target="https://www.google.com/maps/search/?api=1&amp;query=Magellan%20Jets%2C%201250%20Hancock%20St%20Ste%20802N%2C%20Quincy%20MA%2002169" TargetMode="External"/><Relationship Id="rId280" Type="http://schemas.openxmlformats.org/officeDocument/2006/relationships/hyperlink" Target="https://magellanjets.com/" TargetMode="External"/><Relationship Id="rId281" Type="http://schemas.openxmlformats.org/officeDocument/2006/relationships/hyperlink" Target="https://www.google.com/maps/search/?api=1&amp;query=Environmental%20Partners%20Group%2C%201900%20Crown%20Colony%20Dr%20Ste%20402%2C%20Quincy%20MA%2002169" TargetMode="External"/><Relationship Id="rId282" Type="http://schemas.openxmlformats.org/officeDocument/2006/relationships/hyperlink" Target="https://envpartners.com/" TargetMode="External"/><Relationship Id="rId283" Type="http://schemas.openxmlformats.org/officeDocument/2006/relationships/hyperlink" Target="https://www.google.com/maps/search/?api=1&amp;query=Arbella%20Insurance%2C%201100%20Crown%20Colony%20Dr%2C%20Quincy%20MA%2002169" TargetMode="External"/><Relationship Id="rId284" Type="http://schemas.openxmlformats.org/officeDocument/2006/relationships/hyperlink" Target="https://arbella.com/" TargetMode="External"/><Relationship Id="rId285" Type="http://schemas.openxmlformats.org/officeDocument/2006/relationships/hyperlink" Target="https://www.google.com/maps/search/?api=1&amp;query=Shields%20Health%20Care%20Group%2C%20700%20Congress%20St%20Ste%20204%2C%20Quincy%20MA%2002169" TargetMode="External"/><Relationship Id="rId286" Type="http://schemas.openxmlformats.org/officeDocument/2006/relationships/hyperlink" Target="https://shields.com/" TargetMode="External"/><Relationship Id="rId287" Type="http://schemas.openxmlformats.org/officeDocument/2006/relationships/hyperlink" Target="https://www.google.com/maps/search/?api=1&amp;query=CDF%20Corporation%2C%2077%20Industrial%20Park%20Rd%2C%20Plymouth%20MA%2002360" TargetMode="External"/><Relationship Id="rId288" Type="http://schemas.openxmlformats.org/officeDocument/2006/relationships/hyperlink" Target="https://cdf1.com/" TargetMode="External"/><Relationship Id="rId289" Type="http://schemas.openxmlformats.org/officeDocument/2006/relationships/hyperlink" Target="https://www.google.com/maps/search/?api=1&amp;query=Welch%20Healthcare%20%26%20Retirement%20Group%2C%20290%20Kingstown%20Way%2C%20Duxbury%20MA%2002332" TargetMode="External"/><Relationship Id="rId290" Type="http://schemas.openxmlformats.org/officeDocument/2006/relationships/hyperlink" Target="https://welchhrg.com/" TargetMode="External"/><Relationship Id="rId291" Type="http://schemas.openxmlformats.org/officeDocument/2006/relationships/hyperlink" Target="https://www.google.com/maps/search/?api=1&amp;query=Suncor%20Stainless%20/%20Atlantis%20Rail%2C%2070%20Armstrong%20Rd%2C%20Plymouth%20MA%2002360" TargetMode="External"/><Relationship Id="rId292" Type="http://schemas.openxmlformats.org/officeDocument/2006/relationships/hyperlink" Target="https://suncorstainless.com/" TargetMode="External"/><Relationship Id="rId293" Type="http://schemas.openxmlformats.org/officeDocument/2006/relationships/hyperlink" Target="https://www.google.com/maps/search/?api=1&amp;query=Kirwan%20Surgical%20Products%2C%20180%20Enterprise%20Dr%2C%20Marshfield%20MA%2002050" TargetMode="External"/><Relationship Id="rId294" Type="http://schemas.openxmlformats.org/officeDocument/2006/relationships/hyperlink" Target="https://ksp.com/" TargetMode="External"/><Relationship Id="rId295" Type="http://schemas.openxmlformats.org/officeDocument/2006/relationships/hyperlink" Target="https://www.google.com/maps/search/?api=1&amp;query=Vacuum%20Process%20Technology%2C%2070%20Industrial%20Park%20Rd%2C%20Plymouth%20MA%2002360" TargetMode="External"/><Relationship Id="rId296" Type="http://schemas.openxmlformats.org/officeDocument/2006/relationships/hyperlink" Target="https://vptec.com/" TargetMode="External"/><Relationship Id="rId297" Type="http://schemas.openxmlformats.org/officeDocument/2006/relationships/hyperlink" Target="https://www.google.com/maps/search/?api=1&amp;query=Plymouth%20Bay%20Orthopedic%2C%2041%20Resnik%20Rd%2C%20Plymouth%20MA%2002360" TargetMode="External"/><Relationship Id="rId298" Type="http://schemas.openxmlformats.org/officeDocument/2006/relationships/hyperlink" Target="https://pbortho.com/" TargetMode="External"/><Relationship Id="rId299" Type="http://schemas.openxmlformats.org/officeDocument/2006/relationships/hyperlink" Target="https://www.google.com/maps/search/?api=1&amp;query=Tech-Etch%2C%2045%20Aldrin%20Rd%2C%20Plymouth%20MA%2002360" TargetMode="External"/><Relationship Id="rId300" Type="http://schemas.openxmlformats.org/officeDocument/2006/relationships/hyperlink" Target="https://techetch.com/" TargetMode="External"/><Relationship Id="rId301" Type="http://schemas.openxmlformats.org/officeDocument/2006/relationships/hyperlink" Target="https://www.google.com/maps/search/?api=1&amp;query=LearnWell%2C%202%20Main%20St%20Ste%202A%2C%20Plymouth%20MA%2002360" TargetMode="External"/><Relationship Id="rId302" Type="http://schemas.openxmlformats.org/officeDocument/2006/relationships/hyperlink" Target="https://learnwell.com/" TargetMode="External"/><Relationship Id="rId303" Type="http://schemas.openxmlformats.org/officeDocument/2006/relationships/hyperlink" Target="https://www.google.com/maps/search/?api=1&amp;query=VERC%20Enterprises%2C%2010%20Washington%20St%2C%20Duxbury%20MA%2002332" TargetMode="External"/><Relationship Id="rId304" Type="http://schemas.openxmlformats.org/officeDocument/2006/relationships/hyperlink" Target="https://vercenterprises.com/" TargetMode="External"/><Relationship Id="rId305" Type="http://schemas.openxmlformats.org/officeDocument/2006/relationships/hyperlink" Target="https://www.google.com/maps/search/?api=1&amp;query=Keville%20Enterprises%2C%20475%20School%20St%20Ste%2011%2C%20Marshfield%20MA%2002050" TargetMode="External"/><Relationship Id="rId306" Type="http://schemas.openxmlformats.org/officeDocument/2006/relationships/hyperlink" Target="https://keville.com/" TargetMode="External"/><Relationship Id="rId307" Type="http://schemas.openxmlformats.org/officeDocument/2006/relationships/hyperlink" Target="https://www.google.com/maps/search/?api=1&amp;query=Road%20to%20Responsibility%2C%201831%20Ocean%20St%2C%20Marshfield%20MA%2002050" TargetMode="External"/><Relationship Id="rId308" Type="http://schemas.openxmlformats.org/officeDocument/2006/relationships/hyperlink" Target="https://roadtoresponsibility.org/" TargetMode="External"/><Relationship Id="rId309" Type="http://schemas.openxmlformats.org/officeDocument/2006/relationships/hyperlink" Target="https://www.google.com/maps/search/?api=1&amp;query=Habilitation%20Assistance%20Corp%2C%20434%20Court%20St%2C%20Plymouth%20MA%2002360" TargetMode="External"/><Relationship Id="rId310" Type="http://schemas.openxmlformats.org/officeDocument/2006/relationships/hyperlink" Target="https://hac.center/" TargetMode="External"/><Relationship Id="rId311" Type="http://schemas.openxmlformats.org/officeDocument/2006/relationships/hyperlink" Target="https://www.google.com/maps/search/?api=1&amp;query=United%20Elevator%2C%20165%20Enterprise%20Dr%2C%20Marshfield%20MA%2002050" TargetMode="External"/><Relationship Id="rId312" Type="http://schemas.openxmlformats.org/officeDocument/2006/relationships/hyperlink" Target="https://unitedelevatorcorp.com/" TargetMode="External"/><Relationship Id="rId313" Type="http://schemas.openxmlformats.org/officeDocument/2006/relationships/hyperlink" Target="https://www.google.com/maps/search/?api=1&amp;query=Cool%20Gear%20International%2C%2010%20Cordage%20Park%20Cir%20Ste%20212%2C%20Plymouth%20MA%2002360" TargetMode="External"/><Relationship Id="rId314" Type="http://schemas.openxmlformats.org/officeDocument/2006/relationships/hyperlink" Target="https://coolgearinc.com/" TargetMode="External"/><Relationship Id="rId315" Type="http://schemas.openxmlformats.org/officeDocument/2006/relationships/hyperlink" Target="https://www.google.com/maps/search/?api=1&amp;query=Industrial%20Communications%2C%2040%20Lone%20St%2C%20Marshfield%20MA%2002050" TargetMode="External"/><Relationship Id="rId316" Type="http://schemas.openxmlformats.org/officeDocument/2006/relationships/hyperlink" Target="https://induscom.com/" TargetMode="External"/><Relationship Id="rId317" Type="http://schemas.openxmlformats.org/officeDocument/2006/relationships/hyperlink" Target="https://www.google.com/maps/search/?api=1&amp;query=Sheehan%20Family%20Companies%2C%2035%20Elder%20Ave%2C%20Kingston%20MA%2002364" TargetMode="External"/><Relationship Id="rId318" Type="http://schemas.openxmlformats.org/officeDocument/2006/relationships/hyperlink" Target="https://sheehanfamilycompanies.com/" TargetMode="External"/><Relationship Id="rId319" Type="http://schemas.openxmlformats.org/officeDocument/2006/relationships/hyperlink" Target="https://www.google.com/maps/search/?api=1&amp;query=SmartPak%20Equine%2C%2040%20Grissom%20Rd%20Ste%20100%2C%20Plymouth%20MA%2002360" TargetMode="External"/><Relationship Id="rId320" Type="http://schemas.openxmlformats.org/officeDocument/2006/relationships/hyperlink" Target="https://smartpakequine.com/" TargetMode="External"/><Relationship Id="rId321" Type="http://schemas.openxmlformats.org/officeDocument/2006/relationships/hyperlink" Target="https://www.google.com/maps/search/?api=1&amp;query=Engine%20Lease%20Finance%2C%20225%20Water%20St%20Ste%20B238%2C%20Plymouth%20MA%2002360" TargetMode="External"/><Relationship Id="rId322" Type="http://schemas.openxmlformats.org/officeDocument/2006/relationships/hyperlink" Target="https://elfc.com/" TargetMode="External"/><Relationship Id="rId323" Type="http://schemas.openxmlformats.org/officeDocument/2006/relationships/hyperlink" Target="https://www.google.com/maps/search/?api=1&amp;query=Double%20E%20Group%2C%20319%20Manley%20St%2C%20West%20Bridgewater%20MA%2002379" TargetMode="External"/><Relationship Id="rId324" Type="http://schemas.openxmlformats.org/officeDocument/2006/relationships/hyperlink" Target="https://ee-co.com/" TargetMode="External"/><Relationship Id="rId325" Type="http://schemas.openxmlformats.org/officeDocument/2006/relationships/hyperlink" Target="https://www.google.com/maps/search/?api=1&amp;query=North%20Easton%20Savings%20Bank%2C%2020%20Eastman%20St%2C%20South%20Easton%20MA%2002375" TargetMode="External"/><Relationship Id="rId326" Type="http://schemas.openxmlformats.org/officeDocument/2006/relationships/hyperlink" Target="https://northeastonsavingsbank.com/" TargetMode="External"/><Relationship Id="rId327" Type="http://schemas.openxmlformats.org/officeDocument/2006/relationships/hyperlink" Target="https://www.google.com/maps/search/?api=1&amp;query=Concord%20Foods%2C%2010%20Minuteman%20Way%2C%20Brockton%20MA%2002301" TargetMode="External"/><Relationship Id="rId328" Type="http://schemas.openxmlformats.org/officeDocument/2006/relationships/hyperlink" Target="https://concordfoods.com/" TargetMode="External"/><Relationship Id="rId329" Type="http://schemas.openxmlformats.org/officeDocument/2006/relationships/hyperlink" Target="https://www.google.com/maps/search/?api=1&amp;query=REXA%2C%204%20Manley%20St%2C%20West%20Bridgewater%20MA%2002379" TargetMode="External"/><Relationship Id="rId330" Type="http://schemas.openxmlformats.org/officeDocument/2006/relationships/hyperlink" Target="https://rexa.com/" TargetMode="External"/><Relationship Id="rId331" Type="http://schemas.openxmlformats.org/officeDocument/2006/relationships/hyperlink" Target="https://www.google.com/maps/search/?api=1&amp;query=Pharmasol%2C%201%20Norfolk%20Ave%20Ste%201%2C%20South%20Easton%20MA%2002375" TargetMode="External"/><Relationship Id="rId332" Type="http://schemas.openxmlformats.org/officeDocument/2006/relationships/hyperlink" Target="https://pharmasol.com/" TargetMode="External"/><Relationship Id="rId333" Type="http://schemas.openxmlformats.org/officeDocument/2006/relationships/hyperlink" Target="https://www.google.com/maps/search/?api=1&amp;query=SCU%20Credit%20Union%2C%201300%20Belmont%20St%2C%20Brockton%20MA%2002301" TargetMode="External"/><Relationship Id="rId334" Type="http://schemas.openxmlformats.org/officeDocument/2006/relationships/hyperlink" Target="https://scucu.com/" TargetMode="External"/><Relationship Id="rId335" Type="http://schemas.openxmlformats.org/officeDocument/2006/relationships/hyperlink" Target="https://www.google.com/maps/search/?api=1&amp;query=Lyne%20Laboratories%2C%2010%20Burke%20Dr%2C%20Brockton%20MA%2002301" TargetMode="External"/><Relationship Id="rId336" Type="http://schemas.openxmlformats.org/officeDocument/2006/relationships/hyperlink" Target="https://lyne.com/" TargetMode="External"/><Relationship Id="rId337" Type="http://schemas.openxmlformats.org/officeDocument/2006/relationships/hyperlink" Target="https://www.google.com/maps/search/?api=1&amp;query=Shawmut%20Advanced%20Materials%2C%20208%20Manley%20St%2C%20West%20Bridgewater%20MA%2002379" TargetMode="External"/><Relationship Id="rId338" Type="http://schemas.openxmlformats.org/officeDocument/2006/relationships/hyperlink" Target="https://shawmutcorporation.com/" TargetMode="External"/><Relationship Id="rId339" Type="http://schemas.openxmlformats.org/officeDocument/2006/relationships/hyperlink" Target="https://www.google.com/maps/search/?api=1&amp;query=Jones%20%26%20Vining%2C%201115%20W%20Chestnut%20St%20Ste%209%2C%20Brockton%20MA%2002301" TargetMode="External"/><Relationship Id="rId340" Type="http://schemas.openxmlformats.org/officeDocument/2006/relationships/hyperlink" Target="https://jonesandvining.com/" TargetMode="External"/><Relationship Id="rId341" Type="http://schemas.openxmlformats.org/officeDocument/2006/relationships/hyperlink" Target="https://www.google.com/maps/search/?api=1&amp;query=Brockton%20Neighborhood%20Health%20Center%2C%2063%20Main%20St%2C%20Brockton%20MA%2002301" TargetMode="External"/><Relationship Id="rId342" Type="http://schemas.openxmlformats.org/officeDocument/2006/relationships/hyperlink" Target="https://bnhc.org/" TargetMode="External"/><Relationship Id="rId343" Type="http://schemas.openxmlformats.org/officeDocument/2006/relationships/hyperlink" Target="https://www.google.com/maps/search/?api=1&amp;query=Cox%20Engineering%2C%2021%20Pacella%20Park%20Dr%2C%20Randolph%20MA%2002368" TargetMode="External"/><Relationship Id="rId344" Type="http://schemas.openxmlformats.org/officeDocument/2006/relationships/hyperlink" Target="https://coxeng.com/" TargetMode="External"/><Relationship Id="rId345" Type="http://schemas.openxmlformats.org/officeDocument/2006/relationships/hyperlink" Target="https://www.google.com/maps/search/?api=1&amp;query=Cheer%20Pack%20North%20America%2C%201%20United%20Dr%2C%20West%20Bridgewater%20MA%2002379" TargetMode="External"/><Relationship Id="rId346" Type="http://schemas.openxmlformats.org/officeDocument/2006/relationships/hyperlink" Target="https://cheerpack.com/" TargetMode="External"/><Relationship Id="rId347" Type="http://schemas.openxmlformats.org/officeDocument/2006/relationships/hyperlink" Target="https://www.google.com/maps/search/?api=1&amp;query=Burke%20Distributing%2C%2089%20Teed%20Dr%2C%20Randolph%20MA%2002368" TargetMode="External"/><Relationship Id="rId348" Type="http://schemas.openxmlformats.org/officeDocument/2006/relationships/hyperlink" Target="https://burkedist.com/" TargetMode="External"/><Relationship Id="rId349" Type="http://schemas.openxmlformats.org/officeDocument/2006/relationships/hyperlink" Target="https://www.google.com/maps/search/?api=1&amp;query=Cervos%20Medical%2C%2030%20Doherty%20Ave%2C%20Avon%20MA%2002322" TargetMode="External"/><Relationship Id="rId350" Type="http://schemas.openxmlformats.org/officeDocument/2006/relationships/hyperlink" Target="https://cervos.com/" TargetMode="External"/><Relationship Id="rId351" Type="http://schemas.openxmlformats.org/officeDocument/2006/relationships/hyperlink" Target="https://www.google.com/maps/search/?api=1&amp;query=GTR%20Manufacturing%2C%201%20Jonathan%20Dr%2C%20Brockton%20MA%2002301" TargetMode="External"/><Relationship Id="rId352" Type="http://schemas.openxmlformats.org/officeDocument/2006/relationships/hyperlink" Target="https://gtrmfg.com/" TargetMode="External"/><Relationship Id="rId353" Type="http://schemas.openxmlformats.org/officeDocument/2006/relationships/hyperlink" Target="https://www.google.com/maps/search/?api=1&amp;query=Frank%20I.%20Rounds%2C%2065%20York%20Ave%2C%20Randolph%20MA%2002368" TargetMode="External"/><Relationship Id="rId354" Type="http://schemas.openxmlformats.org/officeDocument/2006/relationships/hyperlink" Target="https://frankirounds.com/" TargetMode="External"/><Relationship Id="rId355" Type="http://schemas.openxmlformats.org/officeDocument/2006/relationships/hyperlink" Target="https://www.google.com/maps/search/?api=1&amp;query=Willwork%20Global%20Event%20Services%2C%2023%20Norfolk%20Ave%20Ste%20E%2C%20South%20Easton%20MA%2002375" TargetMode="External"/><Relationship Id="rId356" Type="http://schemas.openxmlformats.org/officeDocument/2006/relationships/hyperlink" Target="https://willworkinc.com/" TargetMode="External"/><Relationship Id="rId357" Type="http://schemas.openxmlformats.org/officeDocument/2006/relationships/hyperlink" Target="https://www.google.com/maps/search/?api=1&amp;query=Reilly%20Electrical%20%28RELCO%29%2C%2014%20Norfolk%20Ave%2C%20South%20Easton%20MA%2002375" TargetMode="External"/><Relationship Id="rId358" Type="http://schemas.openxmlformats.org/officeDocument/2006/relationships/hyperlink" Target="https://gorelco.com/" TargetMode="External"/><Relationship Id="rId359" Type="http://schemas.openxmlformats.org/officeDocument/2006/relationships/hyperlink" Target="https://www.google.com/maps/search/?api=1&amp;query=Ruby%20Wines%2C%20625%20Bodwell%20Street%20Ext%20Ste%20A%2C%20Avon%20MA%2002322" TargetMode="External"/><Relationship Id="rId360" Type="http://schemas.openxmlformats.org/officeDocument/2006/relationships/hyperlink" Target="https://rubywines.com/" TargetMode="External"/><Relationship Id="rId361" Type="http://schemas.openxmlformats.org/officeDocument/2006/relationships/hyperlink" Target="https://www.google.com/maps/search/?api=1&amp;query=Weiss%20Sheet%20Metal%2C%20105%20Bodwell%20St%2C%20Avon%20MA%2002322" TargetMode="External"/><Relationship Id="rId362" Type="http://schemas.openxmlformats.org/officeDocument/2006/relationships/hyperlink" Target="https://weiss-sheetmetal.com/" TargetMode="External"/><Relationship Id="rId363" Type="http://schemas.openxmlformats.org/officeDocument/2006/relationships/hyperlink" Target="https://www.google.com/maps/search/?api=1&amp;query=Central%20Ceilings%2C%2036%20Norfolk%20Ave%2C%20South%20Easton%20MA%2002375" TargetMode="External"/><Relationship Id="rId364" Type="http://schemas.openxmlformats.org/officeDocument/2006/relationships/hyperlink" Target="https://centralceilings.com/" TargetMode="External"/><Relationship Id="rId365" Type="http://schemas.openxmlformats.org/officeDocument/2006/relationships/hyperlink" Target="https://www.google.com/maps/search/?api=1&amp;query=Aqua-Leisure%20Recreation%2C%20525%20Bodwell%20Street%20Ext%20Ste%201%2C%20Avon%20MA%2002322" TargetMode="External"/><Relationship Id="rId366" Type="http://schemas.openxmlformats.org/officeDocument/2006/relationships/hyperlink" Target="https://aqualeisure.com/" TargetMode="External"/><Relationship Id="rId367" Type="http://schemas.openxmlformats.org/officeDocument/2006/relationships/hyperlink" Target="https://www.google.com/maps/search/?api=1&amp;query=Equal%20Exchange%2C%2050%20United%20Dr%2C%20West%20Bridgewater%20MA%2002379" TargetMode="External"/><Relationship Id="rId368" Type="http://schemas.openxmlformats.org/officeDocument/2006/relationships/hyperlink" Target="https://equalexchange.coop/" TargetMode="External"/><Relationship Id="rId369" Type="http://schemas.openxmlformats.org/officeDocument/2006/relationships/hyperlink" Target="https://www.google.com/maps/search/?api=1&amp;query=May%20Institute%2C%2014%20Pacella%20Park%20Dr%2C%20Randolph%20MA%2002368" TargetMode="External"/><Relationship Id="rId370" Type="http://schemas.openxmlformats.org/officeDocument/2006/relationships/hyperlink" Target="https://mayinstitute.org/" TargetMode="External"/><Relationship Id="rId371" Type="http://schemas.openxmlformats.org/officeDocument/2006/relationships/hyperlink" Target="https://www.google.com/maps/search/?api=1&amp;query=HarborOne%20Bank%2C%2068%20Legion%20Pkwy%2C%20Brockton%20MA%2002301" TargetMode="External"/><Relationship Id="rId372" Type="http://schemas.openxmlformats.org/officeDocument/2006/relationships/hyperlink" Target="https://harborone.com/" TargetMode="External"/><Relationship Id="rId373" Type="http://schemas.openxmlformats.org/officeDocument/2006/relationships/hyperlink" Target="https://www.google.com/maps/search/?api=1&amp;query=IPC%20Lydon%2C%20284%20Bodwell%20St%2C%20Avon%20MA%2002322" TargetMode="External"/><Relationship Id="rId374" Type="http://schemas.openxmlformats.org/officeDocument/2006/relationships/hyperlink" Target="https://ipclydon.com/" TargetMode="External"/><Relationship Id="rId375" Type="http://schemas.openxmlformats.org/officeDocument/2006/relationships/hyperlink" Target="https://www.google.com/maps/search/?api=1&amp;query=Boston%20Mutual%20Life%20Insurance%2C%20120%20Royall%20St%2C%20Canton%20MA%2002021" TargetMode="External"/><Relationship Id="rId376" Type="http://schemas.openxmlformats.org/officeDocument/2006/relationships/hyperlink" Target="https://bostonmutual.com/" TargetMode="External"/><Relationship Id="rId377" Type="http://schemas.openxmlformats.org/officeDocument/2006/relationships/hyperlink" Target="https://www.google.com/maps/search/?api=1&amp;query=Abington%20Bank%2C%2095%20N%20Franklin%20St%2C%20Holbrook%20MA%2002343" TargetMode="External"/><Relationship Id="rId378" Type="http://schemas.openxmlformats.org/officeDocument/2006/relationships/hyperlink" Target="https://abingtonbank.com/" TargetMode="External"/><Relationship Id="rId379" Type="http://schemas.openxmlformats.org/officeDocument/2006/relationships/hyperlink" Target="https://www.google.com/maps/search/?api=1&amp;query=Franklin%20Sports%2C%2017%20Campanelli%20Pkwy%2C%20Stoughton%20MA%2002072" TargetMode="External"/><Relationship Id="rId380" Type="http://schemas.openxmlformats.org/officeDocument/2006/relationships/hyperlink" Target="https://franklinsports.com/" TargetMode="External"/><Relationship Id="rId381" Type="http://schemas.openxmlformats.org/officeDocument/2006/relationships/hyperlink" Target="https://www.google.com/maps/search/?api=1&amp;query=BETA%20Group%2C%20315%20Norwood%20Park%20S%2C%20Fl%202%2C%20Norwood%20MA%2002062" TargetMode="External"/><Relationship Id="rId382" Type="http://schemas.openxmlformats.org/officeDocument/2006/relationships/hyperlink" Target="https://beta-inc.com/" TargetMode="External"/><Relationship Id="rId383" Type="http://schemas.openxmlformats.org/officeDocument/2006/relationships/hyperlink" Target="https://www.google.com/maps/search/?api=1&amp;query=A%26E%20Fire%20Protection%2C%2025%20North%20St%2C%20Canton%20MA%2002021" TargetMode="External"/><Relationship Id="rId384" Type="http://schemas.openxmlformats.org/officeDocument/2006/relationships/hyperlink" Target="https://aefireinc.com/" TargetMode="External"/><Relationship Id="rId385" Type="http://schemas.openxmlformats.org/officeDocument/2006/relationships/hyperlink" Target="https://www.google.com/maps/search/?api=1&amp;query=Channel%20Fish%20Processing%2C%20200%20Commerce%20Dr%2C%20Braintree%20MA%2002184" TargetMode="External"/><Relationship Id="rId386" Type="http://schemas.openxmlformats.org/officeDocument/2006/relationships/hyperlink" Target="https://channelfish.com/" TargetMode="External"/><Relationship Id="rId387" Type="http://schemas.openxmlformats.org/officeDocument/2006/relationships/hyperlink" Target="https://www.google.com/maps/search/?api=1&amp;query=ENE%20Systems%2C%20480%20Neponset%20St%2C%20Ste%2011D%2C%20Canton%20MA%2002021" TargetMode="External"/><Relationship Id="rId388" Type="http://schemas.openxmlformats.org/officeDocument/2006/relationships/hyperlink" Target="https://enesystems.com/" TargetMode="External"/><Relationship Id="rId389" Type="http://schemas.openxmlformats.org/officeDocument/2006/relationships/hyperlink" Target="https://www.google.com/maps/search/?api=1&amp;query=Lacerta%20Group%2C%20360%20Forbes%20Blvd%2C%20Mansfield%20MA%2002048" TargetMode="External"/><Relationship Id="rId390" Type="http://schemas.openxmlformats.org/officeDocument/2006/relationships/hyperlink" Target="https://lacerta.com/" TargetMode="External"/><Relationship Id="rId391" Type="http://schemas.openxmlformats.org/officeDocument/2006/relationships/hyperlink" Target="https://www.google.com/maps/search/?api=1&amp;query=Senior%20Metal%20Bellows%2C%201075%20Providence%20Hwy%2C%20Sharon%20MA%2002067" TargetMode="External"/><Relationship Id="rId392" Type="http://schemas.openxmlformats.org/officeDocument/2006/relationships/hyperlink" Target="https://metalbellows.com/" TargetMode="External"/><Relationship Id="rId393" Type="http://schemas.openxmlformats.org/officeDocument/2006/relationships/hyperlink" Target="https://www.google.com/maps/search/?api=1&amp;query=ConnectPay%2C%2010%20Lincoln%20Rd%20Ste%20110%2C%20Foxborough%20MA%2002035" TargetMode="External"/><Relationship Id="rId394" Type="http://schemas.openxmlformats.org/officeDocument/2006/relationships/hyperlink" Target="https://connectpayusa.com/" TargetMode="External"/><Relationship Id="rId395" Type="http://schemas.openxmlformats.org/officeDocument/2006/relationships/hyperlink" Target="https://www.google.com/maps/search/?api=1&amp;query=CPS%20Technologies%2C%20111%20S%20Worcester%20St%2C%20Norton%20MA%2002766" TargetMode="External"/><Relationship Id="rId396" Type="http://schemas.openxmlformats.org/officeDocument/2006/relationships/hyperlink" Target="https://cpstechnologysolutions.com/" TargetMode="External"/><Relationship Id="rId397" Type="http://schemas.openxmlformats.org/officeDocument/2006/relationships/hyperlink" Target="https://www.google.com/maps/search/?api=1&amp;query=Proven%20Process%20Medical%20Devices%2C%20110%20Forbes%20Blvd%2C%20Mansfield%20MA%2002048" TargetMode="External"/><Relationship Id="rId398" Type="http://schemas.openxmlformats.org/officeDocument/2006/relationships/hyperlink" Target="https://provenprocess.com/" TargetMode="External"/><Relationship Id="rId399" Type="http://schemas.openxmlformats.org/officeDocument/2006/relationships/hyperlink" Target="https://www.google.com/maps/search/?api=1&amp;query=Acumentrics%2C%2010%20Walpole%20Park%20S%2C%20Walpole%20MA%2002081" TargetMode="External"/><Relationship Id="rId400" Type="http://schemas.openxmlformats.org/officeDocument/2006/relationships/hyperlink" Target="https://acumentrics.com/" TargetMode="External"/><Relationship Id="rId401" Type="http://schemas.openxmlformats.org/officeDocument/2006/relationships/hyperlink" Target="https://www.google.com/maps/search/?api=1&amp;query=Clinical%20Science%20Laboratory%2C%2051%20Francis%20Ave%2C%20Mansfield%20MA%2002048" TargetMode="External"/><Relationship Id="rId402" Type="http://schemas.openxmlformats.org/officeDocument/2006/relationships/hyperlink" Target="https://clinicalsciencelab.com/" TargetMode="External"/><Relationship Id="rId403" Type="http://schemas.openxmlformats.org/officeDocument/2006/relationships/hyperlink" Target="https://www.google.com/maps/search/?api=1&amp;query=New%20England%20Ice%20Cream%2C%20222%20Mansfield%20Ave%2C%20Norton%20MA%2002766" TargetMode="External"/><Relationship Id="rId404" Type="http://schemas.openxmlformats.org/officeDocument/2006/relationships/hyperlink" Target="https://newenglandicecream.com/" TargetMode="External"/><Relationship Id="rId405" Type="http://schemas.openxmlformats.org/officeDocument/2006/relationships/hyperlink" Target="https://www.google.com/maps/search/?api=1&amp;query=Aero%20Global%20Logistics%2C%2035%20Panas%20Rd%2C%20Foxborough%20MA%2002035" TargetMode="External"/><Relationship Id="rId406" Type="http://schemas.openxmlformats.org/officeDocument/2006/relationships/hyperlink" Target="https://aerogloballogistics.com/" TargetMode="External"/><Relationship Id="rId407" Type="http://schemas.openxmlformats.org/officeDocument/2006/relationships/hyperlink" Target="https://www.google.com/maps/search/?api=1&amp;query=Kennedy-Donovan%20Center%2C%201%20Commercial%20St%2C%20Foxborough%20MA%2002035" TargetMode="External"/><Relationship Id="rId408" Type="http://schemas.openxmlformats.org/officeDocument/2006/relationships/hyperlink" Target="https://kdc.org/" TargetMode="External"/><Relationship Id="rId409" Type="http://schemas.openxmlformats.org/officeDocument/2006/relationships/hyperlink" Target="https://www.google.com/maps/search/?api=1&amp;query=NexDine%20Hospitality%2C%20905b%20S%20Main%20St%20Ste%20203%2C%20Mansfield%20MA%2002048" TargetMode="External"/><Relationship Id="rId410" Type="http://schemas.openxmlformats.org/officeDocument/2006/relationships/hyperlink" Target="https://nexdine.com/" TargetMode="External"/><Relationship Id="rId411" Type="http://schemas.openxmlformats.org/officeDocument/2006/relationships/hyperlink" Target="https://www.google.com/maps/search/?api=1&amp;query=Island%20Oasis%2C%20141%20Norfolk%20St%2C%20Walpole%20MA%2002081" TargetMode="External"/><Relationship Id="rId412" Type="http://schemas.openxmlformats.org/officeDocument/2006/relationships/hyperlink" Target="https://islandoasis.com/" TargetMode="External"/><Relationship Id="rId413" Type="http://schemas.openxmlformats.org/officeDocument/2006/relationships/hyperlink" Target="https://www.google.com/maps/search/?api=1&amp;query=Belknap%20White%20Group%2C%20111%20Plymouth%20St%2C%20Mansfield%20MA%2002048" TargetMode="External"/><Relationship Id="rId414" Type="http://schemas.openxmlformats.org/officeDocument/2006/relationships/hyperlink" Target="https://belknapwhite.com/" TargetMode="External"/><Relationship Id="rId415" Type="http://schemas.openxmlformats.org/officeDocument/2006/relationships/hyperlink" Target="https://www.google.com/maps/search/?api=1&amp;query=Charles%20River%20Apparel%2C%201205%20Providence%20Hwy%2C%20Sharon%20MA%2002067" TargetMode="External"/><Relationship Id="rId416" Type="http://schemas.openxmlformats.org/officeDocument/2006/relationships/hyperlink" Target="https://charlesriverapparel.com/" TargetMode="External"/><Relationship Id="rId417" Type="http://schemas.openxmlformats.org/officeDocument/2006/relationships/hyperlink" Target="https://www.google.com/maps/search/?api=1&amp;query=Accutech%20Packaging%2C%20157%20Green%20St%2C%20Foxborough%20MA%2002035" TargetMode="External"/><Relationship Id="rId418" Type="http://schemas.openxmlformats.org/officeDocument/2006/relationships/hyperlink" Target="https://accutechpkg.com/" TargetMode="External"/><Relationship Id="rId419" Type="http://schemas.openxmlformats.org/officeDocument/2006/relationships/hyperlink" Target="https://www.google.com/maps/search/?api=1&amp;query=Payton%20Construction%2C%20124%20Washington%20St%20Ste%20101%2C%20Foxborough%20MA%2002035" TargetMode="External"/><Relationship Id="rId420" Type="http://schemas.openxmlformats.org/officeDocument/2006/relationships/hyperlink" Target="https://payton-construction.com/" TargetMode="External"/><Relationship Id="rId421" Type="http://schemas.openxmlformats.org/officeDocument/2006/relationships/hyperlink" Target="https://www.google.com/maps/search/?api=1&amp;query=South%20Shore%20Millwork%2C%207%20Maple%20St%2C%20Norton%20MA%2002766" TargetMode="External"/><Relationship Id="rId422" Type="http://schemas.openxmlformats.org/officeDocument/2006/relationships/hyperlink" Target="https://southshoremillwork.com/" TargetMode="External"/><Relationship Id="rId423" Type="http://schemas.openxmlformats.org/officeDocument/2006/relationships/hyperlink" Target="https://www.google.com/maps/search/?api=1&amp;query=Chex%20Finer%20Foods%2C%2071%20Hampden%20Rd%20Ste%20100%2C%20Mansfield%20MA%2002048" TargetMode="External"/><Relationship Id="rId424" Type="http://schemas.openxmlformats.org/officeDocument/2006/relationships/hyperlink" Target="https://chexfoods.com/" TargetMode="External"/><Relationship Id="rId425" Type="http://schemas.openxmlformats.org/officeDocument/2006/relationships/hyperlink" Target="https://www.google.com/maps/search/?api=1&amp;query=HR%20Knowledge%2C%2015%20Berkshire%20Rd%20Ste%20B%2C%20Mansfield%20MA%2002048" TargetMode="External"/><Relationship Id="rId426" Type="http://schemas.openxmlformats.org/officeDocument/2006/relationships/hyperlink" Target="https://hrknowledge.com/" TargetMode="External"/><Relationship Id="rId427" Type="http://schemas.openxmlformats.org/officeDocument/2006/relationships/hyperlink" Target="https://www.google.com/maps/search/?api=1&amp;query=eClinical%20Solutions%2C%20603%20West%20St%2C%20Mansfield%20MA%2002048" TargetMode="External"/><Relationship Id="rId428" Type="http://schemas.openxmlformats.org/officeDocument/2006/relationships/hyperlink" Target="https://eclinicalsol.com/" TargetMode="External"/><Relationship Id="rId429" Type="http://schemas.openxmlformats.org/officeDocument/2006/relationships/hyperlink" Target="https://www.google.com/maps/search/?api=1&amp;query=Ferry-Morse%20/%20Green%20Garden%2C%20202%20S%20Washington%20St%2C%20Norton%20MA%2002766" TargetMode="External"/><Relationship Id="rId430" Type="http://schemas.openxmlformats.org/officeDocument/2006/relationships/hyperlink" Target="https://ferrymorse.com/" TargetMode="External"/><Relationship Id="rId431" Type="http://schemas.openxmlformats.org/officeDocument/2006/relationships/hyperlink" Target="https://www.google.com/maps/search/?api=1&amp;query=American%20Electrical%20Testing%2C%2025%20Forbes%20Blvd%20Unit%201%2C%20Foxborough%20MA%2002035" TargetMode="External"/><Relationship Id="rId432" Type="http://schemas.openxmlformats.org/officeDocument/2006/relationships/hyperlink" Target="https://aetco.us/" TargetMode="External"/><Relationship Id="rId433" Type="http://schemas.openxmlformats.org/officeDocument/2006/relationships/hyperlink" Target="https://www.google.com/maps/search/?api=1&amp;query=Bay%20State%20Physical%20Therapy%2C%20703%20Granite%20St%2C%20Ste%20300%2C%20Braintree%20MA%2002184" TargetMode="External"/><Relationship Id="rId434" Type="http://schemas.openxmlformats.org/officeDocument/2006/relationships/hyperlink" Target="https://baystatept.com/" TargetMode="External"/><Relationship Id="rId435"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16161"/>
    <pageSetUpPr fitToPage="false"/>
  </sheetPr>
  <dimension ref="B1:E3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26"/>
    <col collapsed="false" customWidth="true" hidden="false" outlineLevel="0" max="6" min="3" style="0" width="14"/>
    <col collapsed="false" customWidth="true" hidden="false" outlineLevel="0" max="7" min="7" style="0" width="40"/>
  </cols>
  <sheetData>
    <row r="1" customFormat="false" ht="19.7" hidden="false" customHeight="false" outlineLevel="0" collapsed="false">
      <c r="B1" s="1" t="s">
        <v>0</v>
      </c>
    </row>
    <row r="2" customFormat="false" ht="15" hidden="false" customHeight="false" outlineLevel="0" collapsed="false">
      <c r="B2" s="2" t="s">
        <v>1</v>
      </c>
    </row>
    <row r="4" customFormat="false" ht="15" hidden="false" customHeight="false" outlineLevel="0" collapsed="false">
      <c r="B4" s="3" t="s">
        <v>2</v>
      </c>
    </row>
    <row r="5" customFormat="false" ht="15" hidden="false" customHeight="false" outlineLevel="0" collapsed="false">
      <c r="B5" s="4" t="s">
        <v>3</v>
      </c>
    </row>
    <row r="6" customFormat="false" ht="15" hidden="false" customHeight="false" outlineLevel="0" collapsed="false">
      <c r="B6" s="4" t="s">
        <v>4</v>
      </c>
    </row>
    <row r="7" customFormat="false" ht="15" hidden="false" customHeight="false" outlineLevel="0" collapsed="false">
      <c r="B7" s="4" t="s">
        <v>5</v>
      </c>
    </row>
    <row r="8" customFormat="false" ht="15" hidden="false" customHeight="false" outlineLevel="0" collapsed="false">
      <c r="B8" s="4" t="s">
        <v>6</v>
      </c>
    </row>
    <row r="9" customFormat="false" ht="15" hidden="false" customHeight="false" outlineLevel="0" collapsed="false">
      <c r="B9" s="4" t="s">
        <v>7</v>
      </c>
    </row>
    <row r="10" customFormat="false" ht="15" hidden="false" customHeight="false" outlineLevel="0" collapsed="false">
      <c r="B10" s="4" t="s">
        <v>8</v>
      </c>
    </row>
    <row r="12" customFormat="false" ht="15" hidden="false" customHeight="false" outlineLevel="0" collapsed="false">
      <c r="B12" s="3" t="s">
        <v>9</v>
      </c>
    </row>
    <row r="13" customFormat="false" ht="15" hidden="false" customHeight="false" outlineLevel="0" collapsed="false">
      <c r="B13" s="5" t="s">
        <v>10</v>
      </c>
      <c r="C13" s="4" t="s">
        <v>11</v>
      </c>
    </row>
    <row r="14" customFormat="false" ht="15" hidden="false" customHeight="false" outlineLevel="0" collapsed="false">
      <c r="B14" s="6" t="s">
        <v>12</v>
      </c>
      <c r="C14" s="4" t="s">
        <v>13</v>
      </c>
    </row>
    <row r="15" customFormat="false" ht="15" hidden="false" customHeight="false" outlineLevel="0" collapsed="false">
      <c r="B15" s="7" t="s">
        <v>14</v>
      </c>
      <c r="C15" s="4" t="s">
        <v>15</v>
      </c>
    </row>
    <row r="17" customFormat="false" ht="15" hidden="false" customHeight="false" outlineLevel="0" collapsed="false">
      <c r="B17" s="3" t="s">
        <v>16</v>
      </c>
    </row>
    <row r="18" customFormat="false" ht="15" hidden="false" customHeight="false" outlineLevel="0" collapsed="false">
      <c r="B18" s="4" t="s">
        <v>17</v>
      </c>
      <c r="C18" s="8" t="n">
        <f aca="false">COUNTA('Target List'!$C$2:$C$218)</f>
        <v>217</v>
      </c>
    </row>
    <row r="19" customFormat="false" ht="15" hidden="false" customHeight="false" outlineLevel="0" collapsed="false">
      <c r="B19" s="4" t="s">
        <v>18</v>
      </c>
      <c r="C19" s="8" t="n">
        <f aca="false">COUNTIF('Target List'!$A$2:$A$218,"A")</f>
        <v>66</v>
      </c>
    </row>
    <row r="20" customFormat="false" ht="15" hidden="false" customHeight="false" outlineLevel="0" collapsed="false">
      <c r="B20" s="4" t="s">
        <v>19</v>
      </c>
      <c r="C20" s="8" t="n">
        <f aca="false">COUNTIF('Target List'!$A$2:$A$218,"B")</f>
        <v>109</v>
      </c>
    </row>
    <row r="21" customFormat="false" ht="15" hidden="false" customHeight="false" outlineLevel="0" collapsed="false">
      <c r="B21" s="4" t="s">
        <v>20</v>
      </c>
      <c r="C21" s="8" t="n">
        <f aca="false">COUNTIF('Target List'!$A$2:$A$218,"C")</f>
        <v>42</v>
      </c>
    </row>
    <row r="22" customFormat="false" ht="15" hidden="false" customHeight="false" outlineLevel="0" collapsed="false">
      <c r="B22" s="4" t="s">
        <v>21</v>
      </c>
      <c r="C22" s="8" t="n">
        <f aca="false">COUNTIF('Target List'!$H$2:$H$218,"?*")</f>
        <v>96</v>
      </c>
    </row>
    <row r="23" customFormat="false" ht="15" hidden="false" customHeight="false" outlineLevel="0" collapsed="false">
      <c r="B23" s="4" t="s">
        <v>22</v>
      </c>
      <c r="C23" s="8" t="n">
        <f aca="false">COUNTIF('Target List'!$I$2:$I$218,"?*")</f>
        <v>154</v>
      </c>
    </row>
    <row r="24" customFormat="false" ht="15" hidden="false" customHeight="false" outlineLevel="0" collapsed="false">
      <c r="B24" s="4" t="s">
        <v>23</v>
      </c>
      <c r="C24" s="8" t="n">
        <f aca="false">COUNTIF('Target List'!$K$2:$K$218,"&lt;&gt;Prospect")-COUNTBLANK('Target List'!$K$2:$K$218)</f>
        <v>3</v>
      </c>
    </row>
    <row r="26" customFormat="false" ht="15" hidden="false" customHeight="false" outlineLevel="0" collapsed="false">
      <c r="B26" s="3" t="s">
        <v>24</v>
      </c>
    </row>
    <row r="27" customFormat="false" ht="15" hidden="false" customHeight="false" outlineLevel="0" collapsed="false">
      <c r="B27" s="4" t="s">
        <v>25</v>
      </c>
    </row>
    <row r="28" customFormat="false" ht="15" hidden="false" customHeight="false" outlineLevel="0" collapsed="false">
      <c r="C28" s="9" t="s">
        <v>26</v>
      </c>
      <c r="D28" s="9" t="s">
        <v>27</v>
      </c>
      <c r="E28" s="9" t="s">
        <v>28</v>
      </c>
    </row>
    <row r="29" customFormat="false" ht="15" hidden="false" customHeight="false" outlineLevel="0" collapsed="false">
      <c r="C29" s="10" t="s">
        <v>29</v>
      </c>
      <c r="D29" s="11" t="s">
        <v>30</v>
      </c>
      <c r="E29" s="10" t="s">
        <v>31</v>
      </c>
    </row>
    <row r="31" customFormat="false" ht="15" hidden="false" customHeight="false" outlineLevel="0" collapsed="false">
      <c r="B31" s="3" t="s">
        <v>32</v>
      </c>
    </row>
    <row r="32" customFormat="false" ht="15" hidden="false" customHeight="false" outlineLevel="0" collapsed="false">
      <c r="B32" s="4" t="s">
        <v>33</v>
      </c>
    </row>
    <row r="33" customFormat="false" ht="15" hidden="false" customHeight="false" outlineLevel="0" collapsed="false">
      <c r="B33" s="4" t="s">
        <v>34</v>
      </c>
    </row>
    <row r="34" customFormat="false" ht="15" hidden="false" customHeight="false" outlineLevel="0" collapsed="false">
      <c r="B34" s="4" t="s">
        <v>35</v>
      </c>
    </row>
    <row r="35" customFormat="false" ht="15" hidden="false" customHeight="false" outlineLevel="0" collapsed="false">
      <c r="B35" s="4" t="s">
        <v>36</v>
      </c>
    </row>
    <row r="36" customFormat="false" ht="15" hidden="false" customHeight="false" outlineLevel="0" collapsed="false">
      <c r="B36" s="4" t="s">
        <v>37</v>
      </c>
    </row>
    <row r="37" customFormat="false" ht="15" hidden="false" customHeight="false" outlineLevel="0" collapsed="false">
      <c r="B37" s="4" t="s">
        <v>38</v>
      </c>
    </row>
    <row r="38" customFormat="false" ht="15" hidden="false" customHeight="false" outlineLevel="0" collapsed="false">
      <c r="B38" s="4" t="s">
        <v>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D32"/>
    <pageSetUpPr fitToPage="false"/>
  </sheetPr>
  <dimension ref="A1:V2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5.5"/>
    <col collapsed="false" customWidth="true" hidden="false" outlineLevel="0" max="2" min="2" style="0" width="27"/>
    <col collapsed="false" customWidth="true" hidden="false" outlineLevel="0" max="3" min="3" style="0" width="30"/>
    <col collapsed="false" customWidth="true" hidden="false" outlineLevel="0" max="4" min="4" style="0" width="33"/>
    <col collapsed="false" customWidth="true" hidden="false" outlineLevel="0" max="5" min="5" style="0" width="27"/>
    <col collapsed="false" customWidth="true" hidden="false" outlineLevel="0" max="6" min="6" style="0" width="10.5"/>
    <col collapsed="false" customWidth="true" hidden="false" outlineLevel="0" max="7" min="7" style="0" width="14.5"/>
    <col collapsed="false" customWidth="true" hidden="false" outlineLevel="0" max="9" min="8" style="0" width="28"/>
    <col collapsed="false" customWidth="true" hidden="false" outlineLevel="0" max="10" min="10" style="0" width="46"/>
    <col collapsed="false" customWidth="true" hidden="false" outlineLevel="0" max="11" min="11" style="0" width="15"/>
    <col collapsed="false" customWidth="true" hidden="false" outlineLevel="0" max="12" min="12" style="0" width="7.5"/>
    <col collapsed="false" customWidth="true" hidden="false" outlineLevel="0" max="14" min="14" style="0" width="8"/>
    <col collapsed="false" customWidth="true" hidden="false" outlineLevel="0" max="16" min="15" style="0" width="21"/>
    <col collapsed="false" customWidth="true" hidden="false" outlineLevel="0" max="17" min="17" style="0" width="34"/>
    <col collapsed="false" customWidth="true" hidden="false" outlineLevel="0" max="18" min="18" style="0" width="15"/>
    <col collapsed="false" customWidth="true" hidden="false" outlineLevel="0" max="19" min="19" style="0" width="11"/>
    <col collapsed="false" customWidth="true" hidden="false" outlineLevel="0" max="20" min="20" style="0" width="22"/>
    <col collapsed="false" customWidth="true" hidden="false" outlineLevel="0" max="21" min="21" style="0" width="7"/>
    <col collapsed="false" customWidth="true" hidden="false" outlineLevel="0" max="22" min="22" style="0" width="11"/>
  </cols>
  <sheetData>
    <row r="1" customFormat="false" ht="30" hidden="false" customHeight="true" outlineLevel="0" collapsed="false">
      <c r="A1" s="12" t="s">
        <v>40</v>
      </c>
      <c r="B1" s="12" t="s">
        <v>41</v>
      </c>
      <c r="C1" s="12" t="s">
        <v>42</v>
      </c>
      <c r="D1" s="12" t="s">
        <v>43</v>
      </c>
      <c r="E1" s="12" t="s">
        <v>44</v>
      </c>
      <c r="F1" s="12" t="s">
        <v>45</v>
      </c>
      <c r="G1" s="12" t="s">
        <v>46</v>
      </c>
      <c r="H1" s="12" t="s">
        <v>47</v>
      </c>
      <c r="I1" s="12" t="s">
        <v>48</v>
      </c>
      <c r="J1" s="12" t="s">
        <v>49</v>
      </c>
      <c r="K1" s="12" t="s">
        <v>50</v>
      </c>
      <c r="L1" s="12" t="s">
        <v>51</v>
      </c>
      <c r="M1" s="12" t="s">
        <v>52</v>
      </c>
      <c r="N1" s="12" t="s">
        <v>53</v>
      </c>
      <c r="O1" s="12" t="s">
        <v>54</v>
      </c>
      <c r="P1" s="12" t="s">
        <v>55</v>
      </c>
      <c r="Q1" s="12" t="s">
        <v>56</v>
      </c>
      <c r="R1" s="12" t="s">
        <v>26</v>
      </c>
      <c r="S1" s="12" t="s">
        <v>27</v>
      </c>
      <c r="T1" s="12" t="s">
        <v>28</v>
      </c>
      <c r="U1" s="12" t="s">
        <v>57</v>
      </c>
      <c r="V1" s="12" t="s">
        <v>58</v>
      </c>
    </row>
    <row r="2" customFormat="false" ht="39.75" hidden="false" customHeight="true" outlineLevel="0" collapsed="false">
      <c r="A2" s="13" t="s">
        <v>10</v>
      </c>
      <c r="B2" s="14" t="s">
        <v>59</v>
      </c>
      <c r="C2" s="15" t="s">
        <v>60</v>
      </c>
      <c r="D2" s="15" t="s">
        <v>61</v>
      </c>
      <c r="E2" s="16" t="s">
        <v>62</v>
      </c>
      <c r="F2" s="14" t="s">
        <v>63</v>
      </c>
      <c r="G2" s="14" t="s">
        <v>64</v>
      </c>
      <c r="H2" s="15"/>
      <c r="I2" s="15" t="s">
        <v>65</v>
      </c>
      <c r="J2" s="15" t="s">
        <v>66</v>
      </c>
      <c r="K2" s="15" t="s">
        <v>67</v>
      </c>
      <c r="L2" s="17" t="n">
        <v>97</v>
      </c>
      <c r="M2" s="18" t="n">
        <v>26372000</v>
      </c>
      <c r="N2" s="19" t="n">
        <v>1998</v>
      </c>
      <c r="O2" s="15" t="s">
        <v>68</v>
      </c>
      <c r="P2" s="20" t="s">
        <v>69</v>
      </c>
      <c r="Q2" s="15" t="s">
        <v>70</v>
      </c>
      <c r="R2" s="21" t="s">
        <v>71</v>
      </c>
      <c r="S2" s="22"/>
      <c r="T2" s="23"/>
      <c r="U2" s="14" t="s">
        <v>72</v>
      </c>
      <c r="V2" s="14" t="n">
        <v>19993081</v>
      </c>
    </row>
    <row r="3" customFormat="false" ht="39.75" hidden="false" customHeight="true" outlineLevel="0" collapsed="false">
      <c r="A3" s="13" t="s">
        <v>10</v>
      </c>
      <c r="B3" s="14" t="s">
        <v>59</v>
      </c>
      <c r="C3" s="15" t="s">
        <v>73</v>
      </c>
      <c r="D3" s="15" t="s">
        <v>74</v>
      </c>
      <c r="E3" s="16" t="s">
        <v>75</v>
      </c>
      <c r="F3" s="14" t="s">
        <v>63</v>
      </c>
      <c r="G3" s="14" t="s">
        <v>76</v>
      </c>
      <c r="H3" s="15" t="s">
        <v>77</v>
      </c>
      <c r="I3" s="15" t="s">
        <v>78</v>
      </c>
      <c r="J3" s="15" t="s">
        <v>79</v>
      </c>
      <c r="K3" s="15" t="s">
        <v>67</v>
      </c>
      <c r="L3" s="17" t="n">
        <v>85</v>
      </c>
      <c r="M3" s="18" t="n">
        <v>17855000</v>
      </c>
      <c r="N3" s="19" t="n">
        <v>2014</v>
      </c>
      <c r="O3" s="15"/>
      <c r="P3" s="20" t="s">
        <v>80</v>
      </c>
      <c r="Q3" s="15" t="s">
        <v>81</v>
      </c>
      <c r="R3" s="21" t="s">
        <v>71</v>
      </c>
      <c r="S3" s="22"/>
      <c r="T3" s="23"/>
      <c r="U3" s="14" t="s">
        <v>72</v>
      </c>
      <c r="V3" s="14" t="n">
        <v>461888001</v>
      </c>
    </row>
    <row r="4" customFormat="false" ht="39.75" hidden="false" customHeight="true" outlineLevel="0" collapsed="false">
      <c r="A4" s="24" t="s">
        <v>12</v>
      </c>
      <c r="B4" s="14" t="s">
        <v>59</v>
      </c>
      <c r="C4" s="15" t="s">
        <v>82</v>
      </c>
      <c r="D4" s="15" t="s">
        <v>83</v>
      </c>
      <c r="E4" s="16" t="s">
        <v>84</v>
      </c>
      <c r="F4" s="14" t="s">
        <v>63</v>
      </c>
      <c r="G4" s="14" t="s">
        <v>85</v>
      </c>
      <c r="H4" s="15" t="s">
        <v>86</v>
      </c>
      <c r="I4" s="15" t="s">
        <v>87</v>
      </c>
      <c r="J4" s="15" t="s">
        <v>88</v>
      </c>
      <c r="K4" s="15" t="s">
        <v>67</v>
      </c>
      <c r="L4" s="17" t="n">
        <v>320</v>
      </c>
      <c r="M4" s="18" t="n">
        <v>58320000</v>
      </c>
      <c r="N4" s="19" t="n">
        <v>1980</v>
      </c>
      <c r="O4" s="15"/>
      <c r="P4" s="20" t="s">
        <v>89</v>
      </c>
      <c r="Q4" s="15" t="s">
        <v>90</v>
      </c>
      <c r="R4" s="21" t="s">
        <v>71</v>
      </c>
      <c r="S4" s="22"/>
      <c r="T4" s="23"/>
      <c r="U4" s="14" t="s">
        <v>72</v>
      </c>
      <c r="V4" s="14" t="n">
        <v>7012563</v>
      </c>
    </row>
    <row r="5" customFormat="false" ht="39.75" hidden="false" customHeight="true" outlineLevel="0" collapsed="false">
      <c r="A5" s="24" t="s">
        <v>12</v>
      </c>
      <c r="B5" s="14" t="s">
        <v>59</v>
      </c>
      <c r="C5" s="15" t="s">
        <v>91</v>
      </c>
      <c r="D5" s="15" t="s">
        <v>92</v>
      </c>
      <c r="E5" s="16" t="s">
        <v>93</v>
      </c>
      <c r="F5" s="14" t="s">
        <v>63</v>
      </c>
      <c r="G5" s="14" t="s">
        <v>94</v>
      </c>
      <c r="H5" s="15" t="s">
        <v>95</v>
      </c>
      <c r="I5" s="15" t="s">
        <v>96</v>
      </c>
      <c r="J5" s="15" t="s">
        <v>97</v>
      </c>
      <c r="K5" s="15" t="s">
        <v>67</v>
      </c>
      <c r="L5" s="17" t="n">
        <v>74</v>
      </c>
      <c r="M5" s="18" t="n">
        <v>9809000</v>
      </c>
      <c r="N5" s="19" t="n">
        <v>1999</v>
      </c>
      <c r="O5" s="15"/>
      <c r="P5" s="20" t="s">
        <v>98</v>
      </c>
      <c r="Q5" s="15" t="s">
        <v>99</v>
      </c>
      <c r="R5" s="21" t="s">
        <v>71</v>
      </c>
      <c r="S5" s="22"/>
      <c r="T5" s="23"/>
      <c r="U5" s="14" t="s">
        <v>72</v>
      </c>
      <c r="V5" s="14" t="n">
        <v>9470939</v>
      </c>
    </row>
    <row r="6" customFormat="false" ht="39.75" hidden="false" customHeight="true" outlineLevel="0" collapsed="false">
      <c r="A6" s="24" t="s">
        <v>12</v>
      </c>
      <c r="B6" s="14" t="s">
        <v>59</v>
      </c>
      <c r="C6" s="15" t="s">
        <v>100</v>
      </c>
      <c r="D6" s="15" t="s">
        <v>101</v>
      </c>
      <c r="E6" s="16" t="s">
        <v>102</v>
      </c>
      <c r="F6" s="14" t="s">
        <v>63</v>
      </c>
      <c r="G6" s="14" t="s">
        <v>103</v>
      </c>
      <c r="H6" s="15"/>
      <c r="I6" s="15"/>
      <c r="J6" s="15" t="s">
        <v>104</v>
      </c>
      <c r="K6" s="15" t="s">
        <v>67</v>
      </c>
      <c r="L6" s="17" t="n">
        <v>27</v>
      </c>
      <c r="M6" s="18" t="n">
        <v>5377000</v>
      </c>
      <c r="N6" s="19" t="n">
        <v>1997</v>
      </c>
      <c r="O6" s="15"/>
      <c r="P6" s="20" t="s">
        <v>105</v>
      </c>
      <c r="Q6" s="15" t="s">
        <v>106</v>
      </c>
      <c r="R6" s="21" t="s">
        <v>71</v>
      </c>
      <c r="S6" s="22"/>
      <c r="T6" s="23"/>
      <c r="U6" s="14" t="s">
        <v>72</v>
      </c>
      <c r="V6" s="14" t="n">
        <v>44551959</v>
      </c>
    </row>
    <row r="7" customFormat="false" ht="39.75" hidden="false" customHeight="true" outlineLevel="0" collapsed="false">
      <c r="A7" s="25" t="s">
        <v>14</v>
      </c>
      <c r="B7" s="14" t="s">
        <v>59</v>
      </c>
      <c r="C7" s="15" t="s">
        <v>107</v>
      </c>
      <c r="D7" s="15" t="s">
        <v>108</v>
      </c>
      <c r="E7" s="16" t="s">
        <v>109</v>
      </c>
      <c r="F7" s="14" t="s">
        <v>63</v>
      </c>
      <c r="G7" s="14" t="s">
        <v>110</v>
      </c>
      <c r="H7" s="15" t="s">
        <v>111</v>
      </c>
      <c r="I7" s="15"/>
      <c r="J7" s="15" t="s">
        <v>112</v>
      </c>
      <c r="K7" s="15" t="s">
        <v>67</v>
      </c>
      <c r="L7" s="17" t="n">
        <v>2105</v>
      </c>
      <c r="M7" s="18" t="n">
        <v>758493000</v>
      </c>
      <c r="N7" s="19" t="n">
        <v>1981</v>
      </c>
      <c r="O7" s="15" t="s">
        <v>113</v>
      </c>
      <c r="P7" s="20" t="s">
        <v>114</v>
      </c>
      <c r="Q7" s="15" t="s">
        <v>115</v>
      </c>
      <c r="R7" s="21" t="s">
        <v>71</v>
      </c>
      <c r="S7" s="22"/>
      <c r="T7" s="23"/>
      <c r="U7" s="14" t="s">
        <v>72</v>
      </c>
      <c r="V7" s="14" t="n">
        <v>92047565</v>
      </c>
    </row>
    <row r="8" customFormat="false" ht="39.75" hidden="false" customHeight="true" outlineLevel="0" collapsed="false">
      <c r="A8" s="25" t="s">
        <v>14</v>
      </c>
      <c r="B8" s="14" t="s">
        <v>59</v>
      </c>
      <c r="C8" s="15" t="s">
        <v>116</v>
      </c>
      <c r="D8" s="15" t="s">
        <v>117</v>
      </c>
      <c r="E8" s="16" t="s">
        <v>118</v>
      </c>
      <c r="F8" s="14" t="s">
        <v>63</v>
      </c>
      <c r="G8" s="14" t="s">
        <v>119</v>
      </c>
      <c r="H8" s="15" t="s">
        <v>120</v>
      </c>
      <c r="I8" s="15" t="s">
        <v>121</v>
      </c>
      <c r="J8" s="15" t="s">
        <v>122</v>
      </c>
      <c r="K8" s="15" t="s">
        <v>67</v>
      </c>
      <c r="L8" s="17" t="n">
        <v>40</v>
      </c>
      <c r="M8" s="18" t="n">
        <v>3149000</v>
      </c>
      <c r="N8" s="19" t="n">
        <v>2008</v>
      </c>
      <c r="O8" s="15" t="s">
        <v>123</v>
      </c>
      <c r="P8" s="20" t="s">
        <v>124</v>
      </c>
      <c r="Q8" s="15" t="s">
        <v>125</v>
      </c>
      <c r="R8" s="21" t="s">
        <v>71</v>
      </c>
      <c r="S8" s="22"/>
      <c r="T8" s="23"/>
      <c r="U8" s="14" t="s">
        <v>72</v>
      </c>
      <c r="V8" s="14" t="n">
        <v>27002672</v>
      </c>
    </row>
    <row r="9" customFormat="false" ht="39.75" hidden="false" customHeight="true" outlineLevel="0" collapsed="false">
      <c r="A9" s="13" t="s">
        <v>10</v>
      </c>
      <c r="B9" s="14" t="s">
        <v>126</v>
      </c>
      <c r="C9" s="15" t="s">
        <v>127</v>
      </c>
      <c r="D9" s="15" t="s">
        <v>128</v>
      </c>
      <c r="E9" s="16" t="s">
        <v>129</v>
      </c>
      <c r="F9" s="14" t="s">
        <v>63</v>
      </c>
      <c r="G9" s="14" t="s">
        <v>130</v>
      </c>
      <c r="H9" s="15" t="s">
        <v>131</v>
      </c>
      <c r="I9" s="15" t="s">
        <v>132</v>
      </c>
      <c r="J9" s="15" t="s">
        <v>133</v>
      </c>
      <c r="K9" s="15" t="s">
        <v>67</v>
      </c>
      <c r="L9" s="17" t="n">
        <v>297</v>
      </c>
      <c r="M9" s="18" t="n">
        <v>73741000</v>
      </c>
      <c r="N9" s="19" t="n">
        <v>1922</v>
      </c>
      <c r="O9" s="15"/>
      <c r="P9" s="20" t="s">
        <v>134</v>
      </c>
      <c r="Q9" s="15" t="s">
        <v>135</v>
      </c>
      <c r="R9" s="21" t="s">
        <v>71</v>
      </c>
      <c r="S9" s="22"/>
      <c r="T9" s="23"/>
      <c r="U9" s="14" t="s">
        <v>72</v>
      </c>
      <c r="V9" s="14" t="n">
        <v>59785848</v>
      </c>
    </row>
    <row r="10" customFormat="false" ht="39.75" hidden="false" customHeight="true" outlineLevel="0" collapsed="false">
      <c r="A10" s="13" t="s">
        <v>10</v>
      </c>
      <c r="B10" s="14" t="s">
        <v>126</v>
      </c>
      <c r="C10" s="15" t="s">
        <v>136</v>
      </c>
      <c r="D10" s="15" t="s">
        <v>137</v>
      </c>
      <c r="E10" s="16" t="s">
        <v>138</v>
      </c>
      <c r="F10" s="14" t="s">
        <v>63</v>
      </c>
      <c r="G10" s="14" t="s">
        <v>139</v>
      </c>
      <c r="H10" s="15" t="s">
        <v>140</v>
      </c>
      <c r="I10" s="15" t="s">
        <v>141</v>
      </c>
      <c r="J10" s="15" t="s">
        <v>142</v>
      </c>
      <c r="K10" s="26" t="s">
        <v>143</v>
      </c>
      <c r="L10" s="17" t="n">
        <v>136</v>
      </c>
      <c r="M10" s="18" t="n">
        <v>21613000</v>
      </c>
      <c r="N10" s="19" t="n">
        <v>2006</v>
      </c>
      <c r="O10" s="15"/>
      <c r="P10" s="20" t="s">
        <v>144</v>
      </c>
      <c r="Q10" s="15" t="s">
        <v>145</v>
      </c>
      <c r="R10" s="21" t="s">
        <v>71</v>
      </c>
      <c r="S10" s="22"/>
      <c r="T10" s="23"/>
      <c r="U10" s="14" t="s">
        <v>72</v>
      </c>
      <c r="V10" s="14" t="n">
        <v>353910475</v>
      </c>
    </row>
    <row r="11" customFormat="false" ht="39.75" hidden="false" customHeight="true" outlineLevel="0" collapsed="false">
      <c r="A11" s="13" t="s">
        <v>10</v>
      </c>
      <c r="B11" s="14" t="s">
        <v>126</v>
      </c>
      <c r="C11" s="15" t="s">
        <v>146</v>
      </c>
      <c r="D11" s="15" t="s">
        <v>147</v>
      </c>
      <c r="E11" s="16" t="s">
        <v>148</v>
      </c>
      <c r="F11" s="14" t="s">
        <v>63</v>
      </c>
      <c r="G11" s="14" t="s">
        <v>149</v>
      </c>
      <c r="H11" s="15" t="s">
        <v>150</v>
      </c>
      <c r="I11" s="15" t="s">
        <v>151</v>
      </c>
      <c r="J11" s="15" t="s">
        <v>152</v>
      </c>
      <c r="K11" s="15" t="s">
        <v>67</v>
      </c>
      <c r="L11" s="17" t="n">
        <v>103</v>
      </c>
      <c r="M11" s="18" t="n">
        <v>26997000</v>
      </c>
      <c r="N11" s="19" t="n">
        <v>1979</v>
      </c>
      <c r="O11" s="15"/>
      <c r="P11" s="20" t="s">
        <v>153</v>
      </c>
      <c r="Q11" s="15" t="s">
        <v>154</v>
      </c>
      <c r="R11" s="21" t="s">
        <v>71</v>
      </c>
      <c r="S11" s="22"/>
      <c r="T11" s="23"/>
      <c r="U11" s="14" t="s">
        <v>72</v>
      </c>
      <c r="V11" s="14" t="n">
        <v>343688307</v>
      </c>
    </row>
    <row r="12" customFormat="false" ht="39.75" hidden="false" customHeight="true" outlineLevel="0" collapsed="false">
      <c r="A12" s="13" t="s">
        <v>10</v>
      </c>
      <c r="B12" s="14" t="s">
        <v>126</v>
      </c>
      <c r="C12" s="15" t="s">
        <v>155</v>
      </c>
      <c r="D12" s="15" t="s">
        <v>156</v>
      </c>
      <c r="E12" s="16" t="s">
        <v>157</v>
      </c>
      <c r="F12" s="14" t="s">
        <v>63</v>
      </c>
      <c r="G12" s="14" t="s">
        <v>158</v>
      </c>
      <c r="H12" s="15"/>
      <c r="I12" s="15" t="s">
        <v>159</v>
      </c>
      <c r="J12" s="15" t="s">
        <v>160</v>
      </c>
      <c r="K12" s="15" t="s">
        <v>67</v>
      </c>
      <c r="L12" s="17" t="n">
        <v>80</v>
      </c>
      <c r="M12" s="18" t="n">
        <v>30145000</v>
      </c>
      <c r="N12" s="19" t="n">
        <v>1958</v>
      </c>
      <c r="O12" s="15"/>
      <c r="P12" s="20" t="s">
        <v>161</v>
      </c>
      <c r="Q12" s="15" t="s">
        <v>162</v>
      </c>
      <c r="R12" s="21" t="s">
        <v>71</v>
      </c>
      <c r="S12" s="22"/>
      <c r="T12" s="23"/>
      <c r="U12" s="14" t="s">
        <v>72</v>
      </c>
      <c r="V12" s="14" t="n">
        <v>17159799</v>
      </c>
    </row>
    <row r="13" customFormat="false" ht="39.75" hidden="false" customHeight="true" outlineLevel="0" collapsed="false">
      <c r="A13" s="13" t="s">
        <v>10</v>
      </c>
      <c r="B13" s="14" t="s">
        <v>126</v>
      </c>
      <c r="C13" s="15" t="s">
        <v>163</v>
      </c>
      <c r="D13" s="15" t="s">
        <v>164</v>
      </c>
      <c r="E13" s="16" t="s">
        <v>165</v>
      </c>
      <c r="F13" s="14" t="s">
        <v>63</v>
      </c>
      <c r="G13" s="14" t="s">
        <v>166</v>
      </c>
      <c r="H13" s="15"/>
      <c r="I13" s="15"/>
      <c r="J13" s="15" t="s">
        <v>167</v>
      </c>
      <c r="K13" s="15" t="s">
        <v>67</v>
      </c>
      <c r="L13" s="17" t="n">
        <v>48</v>
      </c>
      <c r="M13" s="18" t="n">
        <v>13780000</v>
      </c>
      <c r="N13" s="19" t="n">
        <v>1977</v>
      </c>
      <c r="O13" s="15"/>
      <c r="P13" s="20" t="s">
        <v>168</v>
      </c>
      <c r="Q13" s="15"/>
      <c r="R13" s="21" t="s">
        <v>71</v>
      </c>
      <c r="S13" s="22"/>
      <c r="T13" s="23"/>
      <c r="U13" s="14" t="s">
        <v>72</v>
      </c>
      <c r="V13" s="14" t="n">
        <v>353777346</v>
      </c>
    </row>
    <row r="14" customFormat="false" ht="39.75" hidden="false" customHeight="true" outlineLevel="0" collapsed="false">
      <c r="A14" s="24" t="s">
        <v>12</v>
      </c>
      <c r="B14" s="14" t="s">
        <v>126</v>
      </c>
      <c r="C14" s="15" t="s">
        <v>169</v>
      </c>
      <c r="D14" s="15" t="s">
        <v>170</v>
      </c>
      <c r="E14" s="16" t="s">
        <v>171</v>
      </c>
      <c r="F14" s="14" t="s">
        <v>63</v>
      </c>
      <c r="G14" s="14" t="s">
        <v>172</v>
      </c>
      <c r="H14" s="15"/>
      <c r="I14" s="15" t="s">
        <v>173</v>
      </c>
      <c r="J14" s="15" t="s">
        <v>174</v>
      </c>
      <c r="K14" s="15" t="s">
        <v>67</v>
      </c>
      <c r="L14" s="17" t="n">
        <v>104</v>
      </c>
      <c r="M14" s="18" t="n">
        <v>24829000</v>
      </c>
      <c r="N14" s="19" t="n">
        <v>1982</v>
      </c>
      <c r="O14" s="15"/>
      <c r="P14" s="20" t="s">
        <v>175</v>
      </c>
      <c r="Q14" s="15" t="s">
        <v>176</v>
      </c>
      <c r="R14" s="21" t="s">
        <v>71</v>
      </c>
      <c r="S14" s="22"/>
      <c r="T14" s="23"/>
      <c r="U14" s="14" t="s">
        <v>72</v>
      </c>
      <c r="V14" s="14" t="n">
        <v>344267938</v>
      </c>
    </row>
    <row r="15" customFormat="false" ht="39.75" hidden="false" customHeight="true" outlineLevel="0" collapsed="false">
      <c r="A15" s="24" t="s">
        <v>12</v>
      </c>
      <c r="B15" s="14" t="s">
        <v>126</v>
      </c>
      <c r="C15" s="15" t="s">
        <v>177</v>
      </c>
      <c r="D15" s="15" t="s">
        <v>178</v>
      </c>
      <c r="E15" s="16" t="s">
        <v>179</v>
      </c>
      <c r="F15" s="14" t="s">
        <v>63</v>
      </c>
      <c r="G15" s="14" t="s">
        <v>180</v>
      </c>
      <c r="H15" s="15"/>
      <c r="I15" s="15" t="s">
        <v>181</v>
      </c>
      <c r="J15" s="15" t="s">
        <v>182</v>
      </c>
      <c r="K15" s="15" t="s">
        <v>67</v>
      </c>
      <c r="L15" s="17" t="n">
        <v>68</v>
      </c>
      <c r="M15" s="18" t="n">
        <v>15840000</v>
      </c>
      <c r="N15" s="19" t="n">
        <v>1951</v>
      </c>
      <c r="O15" s="15"/>
      <c r="P15" s="20" t="s">
        <v>183</v>
      </c>
      <c r="Q15" s="15"/>
      <c r="R15" s="21" t="s">
        <v>71</v>
      </c>
      <c r="S15" s="22"/>
      <c r="T15" s="23"/>
      <c r="U15" s="14" t="s">
        <v>72</v>
      </c>
      <c r="V15" s="14" t="n">
        <v>48400778</v>
      </c>
    </row>
    <row r="16" customFormat="false" ht="39.75" hidden="false" customHeight="true" outlineLevel="0" collapsed="false">
      <c r="A16" s="24" t="s">
        <v>12</v>
      </c>
      <c r="B16" s="14" t="s">
        <v>126</v>
      </c>
      <c r="C16" s="15" t="s">
        <v>184</v>
      </c>
      <c r="D16" s="15" t="s">
        <v>185</v>
      </c>
      <c r="E16" s="16" t="s">
        <v>186</v>
      </c>
      <c r="F16" s="14" t="s">
        <v>63</v>
      </c>
      <c r="G16" s="14" t="s">
        <v>187</v>
      </c>
      <c r="H16" s="15"/>
      <c r="I16" s="15"/>
      <c r="J16" s="15" t="s">
        <v>188</v>
      </c>
      <c r="K16" s="15" t="s">
        <v>67</v>
      </c>
      <c r="L16" s="17" t="n">
        <v>60</v>
      </c>
      <c r="M16" s="18" t="n">
        <v>13390000</v>
      </c>
      <c r="N16" s="19" t="n">
        <v>2004</v>
      </c>
      <c r="O16" s="15"/>
      <c r="P16" s="20" t="s">
        <v>189</v>
      </c>
      <c r="Q16" s="15" t="s">
        <v>190</v>
      </c>
      <c r="R16" s="21" t="s">
        <v>71</v>
      </c>
      <c r="S16" s="22"/>
      <c r="T16" s="23"/>
      <c r="U16" s="14" t="s">
        <v>72</v>
      </c>
      <c r="V16" s="14" t="n">
        <v>352266165</v>
      </c>
    </row>
    <row r="17" customFormat="false" ht="39.75" hidden="false" customHeight="true" outlineLevel="0" collapsed="false">
      <c r="A17" s="24" t="s">
        <v>12</v>
      </c>
      <c r="B17" s="14" t="s">
        <v>126</v>
      </c>
      <c r="C17" s="15" t="s">
        <v>191</v>
      </c>
      <c r="D17" s="15" t="s">
        <v>192</v>
      </c>
      <c r="E17" s="16" t="s">
        <v>193</v>
      </c>
      <c r="F17" s="14" t="s">
        <v>63</v>
      </c>
      <c r="G17" s="14" t="s">
        <v>194</v>
      </c>
      <c r="H17" s="15"/>
      <c r="I17" s="15" t="s">
        <v>195</v>
      </c>
      <c r="J17" s="15" t="s">
        <v>196</v>
      </c>
      <c r="K17" s="15" t="s">
        <v>67</v>
      </c>
      <c r="L17" s="17" t="n">
        <v>25</v>
      </c>
      <c r="M17" s="18" t="n">
        <v>6443000</v>
      </c>
      <c r="N17" s="19" t="n">
        <v>1966</v>
      </c>
      <c r="O17" s="15"/>
      <c r="P17" s="20" t="s">
        <v>197</v>
      </c>
      <c r="Q17" s="15" t="s">
        <v>198</v>
      </c>
      <c r="R17" s="21" t="s">
        <v>71</v>
      </c>
      <c r="S17" s="22"/>
      <c r="T17" s="23"/>
      <c r="U17" s="14" t="s">
        <v>72</v>
      </c>
      <c r="V17" s="14" t="n">
        <v>7965364</v>
      </c>
    </row>
    <row r="18" customFormat="false" ht="39.75" hidden="false" customHeight="true" outlineLevel="0" collapsed="false">
      <c r="A18" s="24" t="s">
        <v>12</v>
      </c>
      <c r="B18" s="14" t="s">
        <v>126</v>
      </c>
      <c r="C18" s="15" t="s">
        <v>199</v>
      </c>
      <c r="D18" s="15" t="s">
        <v>200</v>
      </c>
      <c r="E18" s="16" t="s">
        <v>201</v>
      </c>
      <c r="F18" s="14" t="s">
        <v>63</v>
      </c>
      <c r="G18" s="14" t="s">
        <v>202</v>
      </c>
      <c r="H18" s="15" t="s">
        <v>203</v>
      </c>
      <c r="I18" s="15" t="s">
        <v>204</v>
      </c>
      <c r="J18" s="15" t="s">
        <v>205</v>
      </c>
      <c r="K18" s="15" t="s">
        <v>67</v>
      </c>
      <c r="L18" s="17" t="n">
        <v>25</v>
      </c>
      <c r="M18" s="18" t="n">
        <v>7713000</v>
      </c>
      <c r="N18" s="19" t="n">
        <v>1980</v>
      </c>
      <c r="O18" s="15"/>
      <c r="P18" s="20" t="s">
        <v>206</v>
      </c>
      <c r="Q18" s="15"/>
      <c r="R18" s="21" t="s">
        <v>71</v>
      </c>
      <c r="S18" s="22"/>
      <c r="T18" s="23"/>
      <c r="U18" s="14" t="s">
        <v>72</v>
      </c>
      <c r="V18" s="14" t="n">
        <v>4066062</v>
      </c>
    </row>
    <row r="19" customFormat="false" ht="39.75" hidden="false" customHeight="true" outlineLevel="0" collapsed="false">
      <c r="A19" s="25" t="s">
        <v>14</v>
      </c>
      <c r="B19" s="14" t="s">
        <v>126</v>
      </c>
      <c r="C19" s="15" t="s">
        <v>207</v>
      </c>
      <c r="D19" s="15" t="s">
        <v>208</v>
      </c>
      <c r="E19" s="16" t="s">
        <v>209</v>
      </c>
      <c r="F19" s="14" t="s">
        <v>63</v>
      </c>
      <c r="G19" s="14" t="s">
        <v>210</v>
      </c>
      <c r="H19" s="15" t="s">
        <v>211</v>
      </c>
      <c r="I19" s="15"/>
      <c r="J19" s="15" t="s">
        <v>212</v>
      </c>
      <c r="K19" s="15" t="s">
        <v>67</v>
      </c>
      <c r="L19" s="17" t="n">
        <v>2294</v>
      </c>
      <c r="M19" s="18" t="n">
        <v>948692000</v>
      </c>
      <c r="N19" s="19" t="n">
        <v>1907</v>
      </c>
      <c r="O19" s="15" t="s">
        <v>213</v>
      </c>
      <c r="P19" s="20" t="s">
        <v>214</v>
      </c>
      <c r="Q19" s="15" t="s">
        <v>215</v>
      </c>
      <c r="R19" s="21" t="s">
        <v>71</v>
      </c>
      <c r="S19" s="22"/>
      <c r="T19" s="23"/>
      <c r="U19" s="14" t="s">
        <v>72</v>
      </c>
      <c r="V19" s="14" t="n">
        <v>59785811</v>
      </c>
    </row>
    <row r="20" customFormat="false" ht="39.75" hidden="false" customHeight="true" outlineLevel="0" collapsed="false">
      <c r="A20" s="25" t="s">
        <v>14</v>
      </c>
      <c r="B20" s="14" t="s">
        <v>126</v>
      </c>
      <c r="C20" s="15" t="s">
        <v>216</v>
      </c>
      <c r="D20" s="15" t="s">
        <v>217</v>
      </c>
      <c r="E20" s="16" t="s">
        <v>218</v>
      </c>
      <c r="F20" s="14" t="s">
        <v>63</v>
      </c>
      <c r="G20" s="14" t="s">
        <v>219</v>
      </c>
      <c r="H20" s="15"/>
      <c r="I20" s="15" t="s">
        <v>220</v>
      </c>
      <c r="J20" s="15" t="s">
        <v>221</v>
      </c>
      <c r="K20" s="15" t="s">
        <v>67</v>
      </c>
      <c r="L20" s="17" t="n">
        <v>91</v>
      </c>
      <c r="M20" s="18" t="n">
        <v>2576000</v>
      </c>
      <c r="N20" s="19" t="n">
        <v>1985</v>
      </c>
      <c r="O20" s="15"/>
      <c r="P20" s="20" t="s">
        <v>222</v>
      </c>
      <c r="Q20" s="15" t="s">
        <v>223</v>
      </c>
      <c r="R20" s="21" t="s">
        <v>71</v>
      </c>
      <c r="S20" s="22"/>
      <c r="T20" s="23"/>
      <c r="U20" s="14" t="s">
        <v>72</v>
      </c>
      <c r="V20" s="14" t="n">
        <v>353591703</v>
      </c>
    </row>
    <row r="21" customFormat="false" ht="39.75" hidden="false" customHeight="true" outlineLevel="0" collapsed="false">
      <c r="A21" s="25" t="s">
        <v>14</v>
      </c>
      <c r="B21" s="14" t="s">
        <v>126</v>
      </c>
      <c r="C21" s="15" t="s">
        <v>224</v>
      </c>
      <c r="D21" s="15" t="s">
        <v>225</v>
      </c>
      <c r="E21" s="16" t="s">
        <v>226</v>
      </c>
      <c r="F21" s="14" t="s">
        <v>63</v>
      </c>
      <c r="G21" s="14" t="s">
        <v>227</v>
      </c>
      <c r="H21" s="15"/>
      <c r="I21" s="15" t="s">
        <v>228</v>
      </c>
      <c r="J21" s="15" t="s">
        <v>229</v>
      </c>
      <c r="K21" s="15" t="s">
        <v>67</v>
      </c>
      <c r="L21" s="17" t="n">
        <v>30</v>
      </c>
      <c r="M21" s="18" t="n">
        <v>5078000</v>
      </c>
      <c r="N21" s="19" t="n">
        <v>1986</v>
      </c>
      <c r="O21" s="15"/>
      <c r="P21" s="20" t="s">
        <v>230</v>
      </c>
      <c r="Q21" s="15"/>
      <c r="R21" s="21" t="s">
        <v>71</v>
      </c>
      <c r="S21" s="22"/>
      <c r="T21" s="23"/>
      <c r="U21" s="14" t="s">
        <v>72</v>
      </c>
      <c r="V21" s="14" t="n">
        <v>29426949</v>
      </c>
    </row>
    <row r="22" customFormat="false" ht="39.75" hidden="false" customHeight="true" outlineLevel="0" collapsed="false">
      <c r="A22" s="25" t="s">
        <v>14</v>
      </c>
      <c r="B22" s="14" t="s">
        <v>126</v>
      </c>
      <c r="C22" s="15" t="s">
        <v>231</v>
      </c>
      <c r="D22" s="15" t="s">
        <v>232</v>
      </c>
      <c r="E22" s="16" t="s">
        <v>233</v>
      </c>
      <c r="F22" s="14" t="s">
        <v>63</v>
      </c>
      <c r="G22" s="14" t="s">
        <v>234</v>
      </c>
      <c r="H22" s="15"/>
      <c r="I22" s="15"/>
      <c r="J22" s="15" t="s">
        <v>235</v>
      </c>
      <c r="K22" s="15" t="s">
        <v>67</v>
      </c>
      <c r="L22" s="17" t="n">
        <v>30</v>
      </c>
      <c r="M22" s="18" t="n">
        <v>6242000</v>
      </c>
      <c r="N22" s="19" t="n">
        <v>1999</v>
      </c>
      <c r="O22" s="15"/>
      <c r="P22" s="20" t="s">
        <v>236</v>
      </c>
      <c r="Q22" s="15"/>
      <c r="R22" s="21" t="s">
        <v>71</v>
      </c>
      <c r="S22" s="22"/>
      <c r="T22" s="23"/>
      <c r="U22" s="14" t="s">
        <v>72</v>
      </c>
      <c r="V22" s="14" t="n">
        <v>50397914</v>
      </c>
    </row>
    <row r="23" customFormat="false" ht="39.75" hidden="false" customHeight="true" outlineLevel="0" collapsed="false">
      <c r="A23" s="25" t="s">
        <v>14</v>
      </c>
      <c r="B23" s="14" t="s">
        <v>126</v>
      </c>
      <c r="C23" s="15" t="s">
        <v>237</v>
      </c>
      <c r="D23" s="15" t="s">
        <v>238</v>
      </c>
      <c r="E23" s="16" t="s">
        <v>239</v>
      </c>
      <c r="F23" s="14" t="s">
        <v>63</v>
      </c>
      <c r="G23" s="14" t="s">
        <v>240</v>
      </c>
      <c r="H23" s="15"/>
      <c r="I23" s="15" t="s">
        <v>241</v>
      </c>
      <c r="J23" s="15" t="s">
        <v>242</v>
      </c>
      <c r="K23" s="15" t="s">
        <v>67</v>
      </c>
      <c r="L23" s="17" t="n">
        <v>29</v>
      </c>
      <c r="M23" s="18" t="n">
        <v>5180000</v>
      </c>
      <c r="N23" s="19" t="n">
        <v>1972</v>
      </c>
      <c r="O23" s="15" t="s">
        <v>243</v>
      </c>
      <c r="P23" s="20" t="s">
        <v>244</v>
      </c>
      <c r="Q23" s="15" t="s">
        <v>245</v>
      </c>
      <c r="R23" s="21" t="s">
        <v>71</v>
      </c>
      <c r="S23" s="22"/>
      <c r="T23" s="23"/>
      <c r="U23" s="14" t="s">
        <v>72</v>
      </c>
      <c r="V23" s="14" t="n">
        <v>51856559</v>
      </c>
    </row>
    <row r="24" customFormat="false" ht="39.75" hidden="false" customHeight="true" outlineLevel="0" collapsed="false">
      <c r="A24" s="25" t="s">
        <v>14</v>
      </c>
      <c r="B24" s="14" t="s">
        <v>126</v>
      </c>
      <c r="C24" s="15" t="s">
        <v>246</v>
      </c>
      <c r="D24" s="15" t="s">
        <v>247</v>
      </c>
      <c r="E24" s="16" t="s">
        <v>248</v>
      </c>
      <c r="F24" s="14" t="s">
        <v>63</v>
      </c>
      <c r="G24" s="14" t="s">
        <v>249</v>
      </c>
      <c r="H24" s="15"/>
      <c r="I24" s="15" t="s">
        <v>250</v>
      </c>
      <c r="J24" s="15" t="s">
        <v>251</v>
      </c>
      <c r="K24" s="15" t="s">
        <v>67</v>
      </c>
      <c r="L24" s="17" t="n">
        <v>24</v>
      </c>
      <c r="M24" s="18" t="n">
        <v>6200000</v>
      </c>
      <c r="N24" s="19" t="n">
        <v>2007</v>
      </c>
      <c r="O24" s="15"/>
      <c r="P24" s="20" t="s">
        <v>252</v>
      </c>
      <c r="Q24" s="15"/>
      <c r="R24" s="21" t="s">
        <v>71</v>
      </c>
      <c r="S24" s="22"/>
      <c r="T24" s="23"/>
      <c r="U24" s="14" t="s">
        <v>72</v>
      </c>
      <c r="V24" s="14" t="n">
        <v>363680524</v>
      </c>
    </row>
    <row r="25" customFormat="false" ht="39.75" hidden="false" customHeight="true" outlineLevel="0" collapsed="false">
      <c r="A25" s="13" t="s">
        <v>10</v>
      </c>
      <c r="B25" s="14" t="s">
        <v>253</v>
      </c>
      <c r="C25" s="15" t="s">
        <v>254</v>
      </c>
      <c r="D25" s="15" t="s">
        <v>255</v>
      </c>
      <c r="E25" s="16" t="s">
        <v>256</v>
      </c>
      <c r="F25" s="14" t="s">
        <v>257</v>
      </c>
      <c r="G25" s="14" t="s">
        <v>258</v>
      </c>
      <c r="H25" s="15" t="s">
        <v>259</v>
      </c>
      <c r="I25" s="15" t="s">
        <v>260</v>
      </c>
      <c r="J25" s="15" t="s">
        <v>261</v>
      </c>
      <c r="K25" s="15" t="s">
        <v>67</v>
      </c>
      <c r="L25" s="17" t="n">
        <v>286</v>
      </c>
      <c r="M25" s="18" t="n">
        <v>32828000</v>
      </c>
      <c r="N25" s="19" t="n">
        <v>1929</v>
      </c>
      <c r="O25" s="15"/>
      <c r="P25" s="20" t="s">
        <v>262</v>
      </c>
      <c r="Q25" s="15" t="s">
        <v>263</v>
      </c>
      <c r="R25" s="21" t="s">
        <v>71</v>
      </c>
      <c r="S25" s="22"/>
      <c r="T25" s="23"/>
      <c r="U25" s="14" t="s">
        <v>264</v>
      </c>
      <c r="V25" s="14" t="n">
        <v>8996860</v>
      </c>
    </row>
    <row r="26" customFormat="false" ht="39.75" hidden="false" customHeight="true" outlineLevel="0" collapsed="false">
      <c r="A26" s="13" t="s">
        <v>10</v>
      </c>
      <c r="B26" s="14" t="s">
        <v>253</v>
      </c>
      <c r="C26" s="15" t="s">
        <v>265</v>
      </c>
      <c r="D26" s="15" t="s">
        <v>266</v>
      </c>
      <c r="E26" s="16" t="s">
        <v>267</v>
      </c>
      <c r="F26" s="14" t="s">
        <v>257</v>
      </c>
      <c r="G26" s="14" t="s">
        <v>268</v>
      </c>
      <c r="H26" s="15" t="s">
        <v>269</v>
      </c>
      <c r="I26" s="15" t="s">
        <v>270</v>
      </c>
      <c r="J26" s="15" t="s">
        <v>271</v>
      </c>
      <c r="K26" s="15" t="s">
        <v>67</v>
      </c>
      <c r="L26" s="17" t="n">
        <v>281</v>
      </c>
      <c r="M26" s="18" t="n">
        <v>11835000</v>
      </c>
      <c r="N26" s="19" t="n">
        <v>1999</v>
      </c>
      <c r="O26" s="15"/>
      <c r="P26" s="20" t="s">
        <v>272</v>
      </c>
      <c r="Q26" s="15" t="s">
        <v>273</v>
      </c>
      <c r="R26" s="21" t="s">
        <v>71</v>
      </c>
      <c r="S26" s="22"/>
      <c r="T26" s="23"/>
      <c r="U26" s="14" t="s">
        <v>264</v>
      </c>
      <c r="V26" s="14" t="n">
        <v>371618282</v>
      </c>
    </row>
    <row r="27" customFormat="false" ht="39.75" hidden="false" customHeight="true" outlineLevel="0" collapsed="false">
      <c r="A27" s="13" t="s">
        <v>10</v>
      </c>
      <c r="B27" s="14" t="s">
        <v>253</v>
      </c>
      <c r="C27" s="15" t="s">
        <v>274</v>
      </c>
      <c r="D27" s="15" t="s">
        <v>275</v>
      </c>
      <c r="E27" s="16" t="s">
        <v>276</v>
      </c>
      <c r="F27" s="14" t="s">
        <v>257</v>
      </c>
      <c r="G27" s="14" t="s">
        <v>277</v>
      </c>
      <c r="H27" s="15" t="s">
        <v>278</v>
      </c>
      <c r="I27" s="15" t="s">
        <v>279</v>
      </c>
      <c r="J27" s="15" t="s">
        <v>280</v>
      </c>
      <c r="K27" s="15" t="s">
        <v>67</v>
      </c>
      <c r="L27" s="17" t="n">
        <v>262</v>
      </c>
      <c r="M27" s="18" t="n">
        <v>22797000</v>
      </c>
      <c r="N27" s="19" t="n">
        <v>1920</v>
      </c>
      <c r="O27" s="15"/>
      <c r="P27" s="20" t="s">
        <v>281</v>
      </c>
      <c r="Q27" s="15" t="s">
        <v>282</v>
      </c>
      <c r="R27" s="21" t="s">
        <v>71</v>
      </c>
      <c r="S27" s="22"/>
      <c r="T27" s="23"/>
      <c r="U27" s="14" t="s">
        <v>264</v>
      </c>
      <c r="V27" s="14" t="n">
        <v>82658395</v>
      </c>
    </row>
    <row r="28" customFormat="false" ht="39.75" hidden="false" customHeight="true" outlineLevel="0" collapsed="false">
      <c r="A28" s="13" t="s">
        <v>10</v>
      </c>
      <c r="B28" s="14" t="s">
        <v>253</v>
      </c>
      <c r="C28" s="15" t="s">
        <v>283</v>
      </c>
      <c r="D28" s="15" t="s">
        <v>284</v>
      </c>
      <c r="E28" s="16" t="s">
        <v>285</v>
      </c>
      <c r="F28" s="14" t="s">
        <v>257</v>
      </c>
      <c r="G28" s="14" t="s">
        <v>286</v>
      </c>
      <c r="H28" s="15" t="s">
        <v>287</v>
      </c>
      <c r="I28" s="15" t="s">
        <v>288</v>
      </c>
      <c r="J28" s="15" t="s">
        <v>289</v>
      </c>
      <c r="K28" s="15" t="s">
        <v>67</v>
      </c>
      <c r="L28" s="17" t="n">
        <v>200</v>
      </c>
      <c r="M28" s="18" t="n">
        <v>69573000</v>
      </c>
      <c r="N28" s="19" t="n">
        <v>2021</v>
      </c>
      <c r="O28" s="15"/>
      <c r="P28" s="20" t="s">
        <v>290</v>
      </c>
      <c r="Q28" s="15" t="s">
        <v>291</v>
      </c>
      <c r="R28" s="21" t="s">
        <v>71</v>
      </c>
      <c r="S28" s="22"/>
      <c r="T28" s="23"/>
      <c r="U28" s="14" t="s">
        <v>264</v>
      </c>
      <c r="V28" s="14" t="n">
        <v>481121880</v>
      </c>
    </row>
    <row r="29" customFormat="false" ht="39.75" hidden="false" customHeight="true" outlineLevel="0" collapsed="false">
      <c r="A29" s="13" t="s">
        <v>10</v>
      </c>
      <c r="B29" s="14" t="s">
        <v>253</v>
      </c>
      <c r="C29" s="15" t="s">
        <v>292</v>
      </c>
      <c r="D29" s="15" t="s">
        <v>293</v>
      </c>
      <c r="E29" s="16" t="s">
        <v>294</v>
      </c>
      <c r="F29" s="14" t="s">
        <v>257</v>
      </c>
      <c r="G29" s="14" t="s">
        <v>295</v>
      </c>
      <c r="H29" s="15" t="s">
        <v>296</v>
      </c>
      <c r="I29" s="15" t="s">
        <v>297</v>
      </c>
      <c r="J29" s="15" t="s">
        <v>298</v>
      </c>
      <c r="K29" s="15" t="s">
        <v>67</v>
      </c>
      <c r="L29" s="17" t="n">
        <v>120</v>
      </c>
      <c r="M29" s="18" t="n">
        <v>71702000</v>
      </c>
      <c r="N29" s="19" t="n">
        <v>1970</v>
      </c>
      <c r="O29" s="15"/>
      <c r="P29" s="20" t="s">
        <v>299</v>
      </c>
      <c r="Q29" s="15" t="s">
        <v>300</v>
      </c>
      <c r="R29" s="21" t="s">
        <v>71</v>
      </c>
      <c r="S29" s="22"/>
      <c r="T29" s="23"/>
      <c r="U29" s="14" t="s">
        <v>264</v>
      </c>
      <c r="V29" s="14" t="n">
        <v>25117527</v>
      </c>
    </row>
    <row r="30" customFormat="false" ht="39.75" hidden="false" customHeight="true" outlineLevel="0" collapsed="false">
      <c r="A30" s="13" t="s">
        <v>10</v>
      </c>
      <c r="B30" s="14" t="s">
        <v>253</v>
      </c>
      <c r="C30" s="15" t="s">
        <v>301</v>
      </c>
      <c r="D30" s="15" t="s">
        <v>302</v>
      </c>
      <c r="E30" s="16" t="s">
        <v>303</v>
      </c>
      <c r="F30" s="14" t="s">
        <v>257</v>
      </c>
      <c r="G30" s="14" t="s">
        <v>304</v>
      </c>
      <c r="H30" s="15"/>
      <c r="I30" s="15" t="s">
        <v>305</v>
      </c>
      <c r="J30" s="15" t="s">
        <v>306</v>
      </c>
      <c r="K30" s="15" t="s">
        <v>67</v>
      </c>
      <c r="L30" s="17" t="n">
        <v>90</v>
      </c>
      <c r="M30" s="18" t="n">
        <v>14844000</v>
      </c>
      <c r="N30" s="19" t="n">
        <v>1952</v>
      </c>
      <c r="O30" s="15"/>
      <c r="P30" s="20" t="s">
        <v>307</v>
      </c>
      <c r="Q30" s="15" t="s">
        <v>308</v>
      </c>
      <c r="R30" s="21" t="s">
        <v>71</v>
      </c>
      <c r="S30" s="22"/>
      <c r="T30" s="23"/>
      <c r="U30" s="14" t="s">
        <v>264</v>
      </c>
      <c r="V30" s="14" t="n">
        <v>93767622</v>
      </c>
    </row>
    <row r="31" customFormat="false" ht="39.75" hidden="false" customHeight="true" outlineLevel="0" collapsed="false">
      <c r="A31" s="13" t="s">
        <v>10</v>
      </c>
      <c r="B31" s="14" t="s">
        <v>253</v>
      </c>
      <c r="C31" s="15" t="s">
        <v>309</v>
      </c>
      <c r="D31" s="15" t="s">
        <v>310</v>
      </c>
      <c r="E31" s="16" t="s">
        <v>311</v>
      </c>
      <c r="F31" s="14" t="s">
        <v>63</v>
      </c>
      <c r="G31" s="14" t="s">
        <v>312</v>
      </c>
      <c r="H31" s="15"/>
      <c r="I31" s="15" t="s">
        <v>313</v>
      </c>
      <c r="J31" s="15" t="s">
        <v>314</v>
      </c>
      <c r="K31" s="15" t="s">
        <v>67</v>
      </c>
      <c r="L31" s="17" t="n">
        <v>70</v>
      </c>
      <c r="M31" s="18" t="n">
        <v>21533000</v>
      </c>
      <c r="N31" s="19" t="n">
        <v>1981</v>
      </c>
      <c r="O31" s="15"/>
      <c r="P31" s="20" t="s">
        <v>315</v>
      </c>
      <c r="Q31" s="15" t="s">
        <v>316</v>
      </c>
      <c r="R31" s="21" t="s">
        <v>71</v>
      </c>
      <c r="S31" s="22"/>
      <c r="T31" s="23"/>
      <c r="U31" s="14" t="s">
        <v>72</v>
      </c>
      <c r="V31" s="14" t="n">
        <v>2935868</v>
      </c>
    </row>
    <row r="32" customFormat="false" ht="39.75" hidden="false" customHeight="true" outlineLevel="0" collapsed="false">
      <c r="A32" s="24" t="s">
        <v>12</v>
      </c>
      <c r="B32" s="14" t="s">
        <v>253</v>
      </c>
      <c r="C32" s="15" t="s">
        <v>317</v>
      </c>
      <c r="D32" s="15" t="s">
        <v>318</v>
      </c>
      <c r="E32" s="16" t="s">
        <v>319</v>
      </c>
      <c r="F32" s="14" t="s">
        <v>257</v>
      </c>
      <c r="G32" s="14" t="s">
        <v>320</v>
      </c>
      <c r="H32" s="15"/>
      <c r="I32" s="15"/>
      <c r="J32" s="15" t="s">
        <v>321</v>
      </c>
      <c r="K32" s="15" t="s">
        <v>67</v>
      </c>
      <c r="L32" s="17" t="n">
        <v>199</v>
      </c>
      <c r="M32" s="18" t="n">
        <v>16725000</v>
      </c>
      <c r="N32" s="19" t="n">
        <v>2015</v>
      </c>
      <c r="O32" s="15"/>
      <c r="P32" s="20" t="s">
        <v>322</v>
      </c>
      <c r="Q32" s="15" t="s">
        <v>323</v>
      </c>
      <c r="R32" s="21" t="s">
        <v>71</v>
      </c>
      <c r="S32" s="22"/>
      <c r="T32" s="23"/>
      <c r="U32" s="14" t="s">
        <v>264</v>
      </c>
      <c r="V32" s="14" t="n">
        <v>397516336</v>
      </c>
    </row>
    <row r="33" customFormat="false" ht="39.75" hidden="false" customHeight="true" outlineLevel="0" collapsed="false">
      <c r="A33" s="24" t="s">
        <v>12</v>
      </c>
      <c r="B33" s="14" t="s">
        <v>253</v>
      </c>
      <c r="C33" s="15" t="s">
        <v>324</v>
      </c>
      <c r="D33" s="15" t="s">
        <v>325</v>
      </c>
      <c r="E33" s="16" t="s">
        <v>326</v>
      </c>
      <c r="F33" s="14" t="s">
        <v>257</v>
      </c>
      <c r="G33" s="14" t="s">
        <v>327</v>
      </c>
      <c r="H33" s="15"/>
      <c r="I33" s="15" t="s">
        <v>328</v>
      </c>
      <c r="J33" s="15" t="s">
        <v>329</v>
      </c>
      <c r="K33" s="15" t="s">
        <v>67</v>
      </c>
      <c r="L33" s="17" t="n">
        <v>146</v>
      </c>
      <c r="M33" s="18" t="n">
        <v>16932000</v>
      </c>
      <c r="N33" s="19" t="n">
        <v>1975</v>
      </c>
      <c r="O33" s="15"/>
      <c r="P33" s="20" t="s">
        <v>330</v>
      </c>
      <c r="Q33" s="15"/>
      <c r="R33" s="21" t="s">
        <v>71</v>
      </c>
      <c r="S33" s="22"/>
      <c r="T33" s="23"/>
      <c r="U33" s="14" t="s">
        <v>264</v>
      </c>
      <c r="V33" s="14" t="n">
        <v>347309462</v>
      </c>
    </row>
    <row r="34" customFormat="false" ht="39.75" hidden="false" customHeight="true" outlineLevel="0" collapsed="false">
      <c r="A34" s="24" t="s">
        <v>12</v>
      </c>
      <c r="B34" s="14" t="s">
        <v>253</v>
      </c>
      <c r="C34" s="15" t="s">
        <v>331</v>
      </c>
      <c r="D34" s="15" t="s">
        <v>332</v>
      </c>
      <c r="E34" s="16" t="s">
        <v>333</v>
      </c>
      <c r="F34" s="14" t="s">
        <v>257</v>
      </c>
      <c r="G34" s="14" t="s">
        <v>334</v>
      </c>
      <c r="H34" s="15" t="s">
        <v>335</v>
      </c>
      <c r="I34" s="15" t="s">
        <v>336</v>
      </c>
      <c r="J34" s="15" t="s">
        <v>337</v>
      </c>
      <c r="K34" s="15" t="s">
        <v>67</v>
      </c>
      <c r="L34" s="17" t="n">
        <v>58</v>
      </c>
      <c r="M34" s="18" t="n">
        <v>12007000</v>
      </c>
      <c r="N34" s="19" t="n">
        <v>1998</v>
      </c>
      <c r="O34" s="15"/>
      <c r="P34" s="20" t="s">
        <v>338</v>
      </c>
      <c r="Q34" s="15" t="s">
        <v>339</v>
      </c>
      <c r="R34" s="21" t="s">
        <v>71</v>
      </c>
      <c r="S34" s="22"/>
      <c r="T34" s="23"/>
      <c r="U34" s="14" t="s">
        <v>264</v>
      </c>
      <c r="V34" s="14" t="n">
        <v>354245370</v>
      </c>
    </row>
    <row r="35" customFormat="false" ht="39.75" hidden="false" customHeight="true" outlineLevel="0" collapsed="false">
      <c r="A35" s="24" t="s">
        <v>12</v>
      </c>
      <c r="B35" s="14" t="s">
        <v>253</v>
      </c>
      <c r="C35" s="15" t="s">
        <v>340</v>
      </c>
      <c r="D35" s="15" t="s">
        <v>341</v>
      </c>
      <c r="E35" s="16" t="s">
        <v>342</v>
      </c>
      <c r="F35" s="14" t="s">
        <v>257</v>
      </c>
      <c r="G35" s="14" t="s">
        <v>343</v>
      </c>
      <c r="H35" s="15"/>
      <c r="I35" s="15" t="s">
        <v>344</v>
      </c>
      <c r="J35" s="15" t="s">
        <v>345</v>
      </c>
      <c r="K35" s="15" t="s">
        <v>67</v>
      </c>
      <c r="L35" s="17" t="n">
        <v>49</v>
      </c>
      <c r="M35" s="18" t="n">
        <v>9752000</v>
      </c>
      <c r="N35" s="19" t="n">
        <v>1977</v>
      </c>
      <c r="O35" s="15"/>
      <c r="P35" s="20" t="s">
        <v>346</v>
      </c>
      <c r="Q35" s="15"/>
      <c r="R35" s="21" t="s">
        <v>71</v>
      </c>
      <c r="S35" s="22"/>
      <c r="T35" s="23"/>
      <c r="U35" s="14" t="s">
        <v>264</v>
      </c>
      <c r="V35" s="14" t="n">
        <v>126845033</v>
      </c>
    </row>
    <row r="36" customFormat="false" ht="39.75" hidden="false" customHeight="true" outlineLevel="0" collapsed="false">
      <c r="A36" s="24" t="s">
        <v>12</v>
      </c>
      <c r="B36" s="14" t="s">
        <v>253</v>
      </c>
      <c r="C36" s="15" t="s">
        <v>347</v>
      </c>
      <c r="D36" s="15" t="s">
        <v>348</v>
      </c>
      <c r="E36" s="16" t="s">
        <v>349</v>
      </c>
      <c r="F36" s="14" t="s">
        <v>257</v>
      </c>
      <c r="G36" s="14" t="s">
        <v>350</v>
      </c>
      <c r="H36" s="15"/>
      <c r="I36" s="15" t="s">
        <v>351</v>
      </c>
      <c r="J36" s="15" t="s">
        <v>352</v>
      </c>
      <c r="K36" s="15" t="s">
        <v>67</v>
      </c>
      <c r="L36" s="17" t="n">
        <v>34</v>
      </c>
      <c r="M36" s="18" t="n">
        <v>1166000</v>
      </c>
      <c r="N36" s="19" t="n">
        <v>2017</v>
      </c>
      <c r="O36" s="15"/>
      <c r="P36" s="20" t="s">
        <v>353</v>
      </c>
      <c r="Q36" s="15" t="s">
        <v>354</v>
      </c>
      <c r="R36" s="21" t="s">
        <v>71</v>
      </c>
      <c r="S36" s="22"/>
      <c r="T36" s="23"/>
      <c r="U36" s="14" t="s">
        <v>264</v>
      </c>
      <c r="V36" s="14" t="n">
        <v>451726485</v>
      </c>
    </row>
    <row r="37" customFormat="false" ht="39.75" hidden="false" customHeight="true" outlineLevel="0" collapsed="false">
      <c r="A37" s="24" t="s">
        <v>12</v>
      </c>
      <c r="B37" s="14" t="s">
        <v>253</v>
      </c>
      <c r="C37" s="15" t="s">
        <v>355</v>
      </c>
      <c r="D37" s="15" t="s">
        <v>356</v>
      </c>
      <c r="E37" s="16" t="s">
        <v>357</v>
      </c>
      <c r="F37" s="14" t="s">
        <v>257</v>
      </c>
      <c r="G37" s="14" t="s">
        <v>358</v>
      </c>
      <c r="H37" s="15"/>
      <c r="I37" s="15" t="s">
        <v>359</v>
      </c>
      <c r="J37" s="15" t="s">
        <v>360</v>
      </c>
      <c r="K37" s="15" t="s">
        <v>67</v>
      </c>
      <c r="L37" s="17" t="n">
        <v>23</v>
      </c>
      <c r="M37" s="18" t="n">
        <v>7217000</v>
      </c>
      <c r="N37" s="19" t="n">
        <v>1960</v>
      </c>
      <c r="O37" s="15"/>
      <c r="P37" s="20" t="s">
        <v>361</v>
      </c>
      <c r="Q37" s="15"/>
      <c r="R37" s="21" t="s">
        <v>71</v>
      </c>
      <c r="S37" s="22"/>
      <c r="T37" s="23"/>
      <c r="U37" s="14" t="s">
        <v>264</v>
      </c>
      <c r="V37" s="14" t="n">
        <v>41815502</v>
      </c>
    </row>
    <row r="38" customFormat="false" ht="39.75" hidden="false" customHeight="true" outlineLevel="0" collapsed="false">
      <c r="A38" s="25" t="s">
        <v>14</v>
      </c>
      <c r="B38" s="14" t="s">
        <v>253</v>
      </c>
      <c r="C38" s="15" t="s">
        <v>362</v>
      </c>
      <c r="D38" s="15" t="s">
        <v>363</v>
      </c>
      <c r="E38" s="16" t="s">
        <v>364</v>
      </c>
      <c r="F38" s="14" t="s">
        <v>257</v>
      </c>
      <c r="G38" s="14" t="s">
        <v>365</v>
      </c>
      <c r="H38" s="15" t="s">
        <v>366</v>
      </c>
      <c r="I38" s="15"/>
      <c r="J38" s="15" t="s">
        <v>367</v>
      </c>
      <c r="K38" s="26" t="s">
        <v>368</v>
      </c>
      <c r="L38" s="17" t="n">
        <v>4300</v>
      </c>
      <c r="M38" s="18" t="n">
        <v>1514886000</v>
      </c>
      <c r="N38" s="19" t="n">
        <v>1963</v>
      </c>
      <c r="O38" s="15" t="s">
        <v>369</v>
      </c>
      <c r="P38" s="20" t="s">
        <v>370</v>
      </c>
      <c r="Q38" s="15" t="s">
        <v>371</v>
      </c>
      <c r="R38" s="21" t="s">
        <v>71</v>
      </c>
      <c r="S38" s="22"/>
      <c r="T38" s="23"/>
      <c r="U38" s="14" t="s">
        <v>264</v>
      </c>
      <c r="V38" s="14" t="n">
        <v>92389930</v>
      </c>
    </row>
    <row r="39" customFormat="false" ht="39.75" hidden="false" customHeight="true" outlineLevel="0" collapsed="false">
      <c r="A39" s="25" t="s">
        <v>14</v>
      </c>
      <c r="B39" s="14" t="s">
        <v>253</v>
      </c>
      <c r="C39" s="15" t="s">
        <v>372</v>
      </c>
      <c r="D39" s="15" t="s">
        <v>373</v>
      </c>
      <c r="E39" s="16" t="s">
        <v>374</v>
      </c>
      <c r="F39" s="14" t="s">
        <v>257</v>
      </c>
      <c r="G39" s="14" t="s">
        <v>375</v>
      </c>
      <c r="H39" s="15" t="s">
        <v>376</v>
      </c>
      <c r="I39" s="15"/>
      <c r="J39" s="15" t="s">
        <v>377</v>
      </c>
      <c r="K39" s="15" t="s">
        <v>67</v>
      </c>
      <c r="L39" s="17" t="n">
        <v>1817</v>
      </c>
      <c r="M39" s="18" t="n">
        <v>242210000</v>
      </c>
      <c r="N39" s="19" t="n">
        <v>1955</v>
      </c>
      <c r="O39" s="15"/>
      <c r="P39" s="20" t="s">
        <v>378</v>
      </c>
      <c r="Q39" s="15" t="s">
        <v>379</v>
      </c>
      <c r="R39" s="21" t="s">
        <v>71</v>
      </c>
      <c r="S39" s="22"/>
      <c r="T39" s="23"/>
      <c r="U39" s="14" t="s">
        <v>264</v>
      </c>
      <c r="V39" s="14" t="n">
        <v>112869812</v>
      </c>
    </row>
    <row r="40" customFormat="false" ht="39.75" hidden="false" customHeight="true" outlineLevel="0" collapsed="false">
      <c r="A40" s="25" t="s">
        <v>14</v>
      </c>
      <c r="B40" s="14" t="s">
        <v>253</v>
      </c>
      <c r="C40" s="15" t="s">
        <v>380</v>
      </c>
      <c r="D40" s="15" t="s">
        <v>381</v>
      </c>
      <c r="E40" s="16" t="s">
        <v>382</v>
      </c>
      <c r="F40" s="14" t="s">
        <v>257</v>
      </c>
      <c r="G40" s="14" t="s">
        <v>383</v>
      </c>
      <c r="H40" s="15" t="s">
        <v>384</v>
      </c>
      <c r="I40" s="15" t="s">
        <v>385</v>
      </c>
      <c r="J40" s="15" t="s">
        <v>386</v>
      </c>
      <c r="K40" s="15" t="s">
        <v>67</v>
      </c>
      <c r="L40" s="17" t="n">
        <v>160</v>
      </c>
      <c r="M40" s="18" t="n">
        <v>59128000</v>
      </c>
      <c r="N40" s="19" t="n">
        <v>1974</v>
      </c>
      <c r="O40" s="15" t="s">
        <v>387</v>
      </c>
      <c r="P40" s="20" t="s">
        <v>388</v>
      </c>
      <c r="Q40" s="15" t="s">
        <v>389</v>
      </c>
      <c r="R40" s="21" t="s">
        <v>71</v>
      </c>
      <c r="S40" s="22"/>
      <c r="T40" s="23"/>
      <c r="U40" s="14" t="s">
        <v>264</v>
      </c>
      <c r="V40" s="14" t="n">
        <v>207552767</v>
      </c>
    </row>
    <row r="41" customFormat="false" ht="39.75" hidden="false" customHeight="true" outlineLevel="0" collapsed="false">
      <c r="A41" s="13" t="s">
        <v>10</v>
      </c>
      <c r="B41" s="14" t="s">
        <v>390</v>
      </c>
      <c r="C41" s="15" t="s">
        <v>391</v>
      </c>
      <c r="D41" s="15" t="s">
        <v>392</v>
      </c>
      <c r="E41" s="16" t="s">
        <v>393</v>
      </c>
      <c r="F41" s="14" t="s">
        <v>257</v>
      </c>
      <c r="G41" s="14" t="s">
        <v>394</v>
      </c>
      <c r="H41" s="15"/>
      <c r="I41" s="15"/>
      <c r="J41" s="15" t="s">
        <v>395</v>
      </c>
      <c r="K41" s="15" t="s">
        <v>67</v>
      </c>
      <c r="L41" s="17" t="n">
        <v>86</v>
      </c>
      <c r="M41" s="18" t="n">
        <v>3100000</v>
      </c>
      <c r="N41" s="19" t="n">
        <v>1984</v>
      </c>
      <c r="O41" s="15"/>
      <c r="P41" s="20" t="s">
        <v>396</v>
      </c>
      <c r="Q41" s="15" t="s">
        <v>397</v>
      </c>
      <c r="R41" s="21" t="s">
        <v>71</v>
      </c>
      <c r="S41" s="22"/>
      <c r="T41" s="23"/>
      <c r="U41" s="14" t="s">
        <v>264</v>
      </c>
      <c r="V41" s="14" t="n">
        <v>227410374</v>
      </c>
    </row>
    <row r="42" customFormat="false" ht="39.75" hidden="false" customHeight="true" outlineLevel="0" collapsed="false">
      <c r="A42" s="24" t="s">
        <v>12</v>
      </c>
      <c r="B42" s="14" t="s">
        <v>390</v>
      </c>
      <c r="C42" s="15" t="s">
        <v>398</v>
      </c>
      <c r="D42" s="15" t="s">
        <v>399</v>
      </c>
      <c r="E42" s="16" t="s">
        <v>400</v>
      </c>
      <c r="F42" s="14" t="s">
        <v>257</v>
      </c>
      <c r="G42" s="14" t="s">
        <v>401</v>
      </c>
      <c r="H42" s="15"/>
      <c r="I42" s="15" t="s">
        <v>402</v>
      </c>
      <c r="J42" s="15" t="s">
        <v>403</v>
      </c>
      <c r="K42" s="15" t="s">
        <v>67</v>
      </c>
      <c r="L42" s="17" t="n">
        <v>700</v>
      </c>
      <c r="M42" s="18" t="n">
        <v>374260000</v>
      </c>
      <c r="N42" s="19" t="n">
        <v>1956</v>
      </c>
      <c r="O42" s="15"/>
      <c r="P42" s="20" t="s">
        <v>404</v>
      </c>
      <c r="Q42" s="15" t="s">
        <v>405</v>
      </c>
      <c r="R42" s="21" t="s">
        <v>71</v>
      </c>
      <c r="S42" s="22"/>
      <c r="T42" s="23"/>
      <c r="U42" s="14" t="s">
        <v>264</v>
      </c>
      <c r="V42" s="14" t="n">
        <v>17287496</v>
      </c>
    </row>
    <row r="43" customFormat="false" ht="39.75" hidden="false" customHeight="true" outlineLevel="0" collapsed="false">
      <c r="A43" s="24" t="s">
        <v>12</v>
      </c>
      <c r="B43" s="14" t="s">
        <v>390</v>
      </c>
      <c r="C43" s="15" t="s">
        <v>406</v>
      </c>
      <c r="D43" s="15" t="s">
        <v>407</v>
      </c>
      <c r="E43" s="16" t="s">
        <v>408</v>
      </c>
      <c r="F43" s="14" t="s">
        <v>257</v>
      </c>
      <c r="G43" s="14" t="s">
        <v>409</v>
      </c>
      <c r="H43" s="15"/>
      <c r="I43" s="15"/>
      <c r="J43" s="15" t="s">
        <v>410</v>
      </c>
      <c r="K43" s="15" t="s">
        <v>67</v>
      </c>
      <c r="L43" s="17" t="n">
        <v>124</v>
      </c>
      <c r="M43" s="18" t="n">
        <v>23544000</v>
      </c>
      <c r="N43" s="19" t="n">
        <v>1993</v>
      </c>
      <c r="O43" s="15"/>
      <c r="P43" s="20" t="s">
        <v>411</v>
      </c>
      <c r="Q43" s="15" t="s">
        <v>412</v>
      </c>
      <c r="R43" s="21" t="s">
        <v>71</v>
      </c>
      <c r="S43" s="22"/>
      <c r="T43" s="23"/>
      <c r="U43" s="14" t="s">
        <v>264</v>
      </c>
      <c r="V43" s="14" t="n">
        <v>98615871</v>
      </c>
    </row>
    <row r="44" customFormat="false" ht="39.75" hidden="false" customHeight="true" outlineLevel="0" collapsed="false">
      <c r="A44" s="24" t="s">
        <v>12</v>
      </c>
      <c r="B44" s="14" t="s">
        <v>390</v>
      </c>
      <c r="C44" s="15" t="s">
        <v>413</v>
      </c>
      <c r="D44" s="15" t="s">
        <v>414</v>
      </c>
      <c r="E44" s="16" t="s">
        <v>415</v>
      </c>
      <c r="F44" s="14" t="s">
        <v>257</v>
      </c>
      <c r="G44" s="14" t="s">
        <v>416</v>
      </c>
      <c r="H44" s="15"/>
      <c r="I44" s="15" t="s">
        <v>417</v>
      </c>
      <c r="J44" s="15" t="s">
        <v>418</v>
      </c>
      <c r="K44" s="15" t="s">
        <v>67</v>
      </c>
      <c r="L44" s="17" t="n">
        <v>79</v>
      </c>
      <c r="M44" s="18" t="n">
        <v>2726000</v>
      </c>
      <c r="N44" s="19" t="n">
        <v>2015</v>
      </c>
      <c r="O44" s="15"/>
      <c r="P44" s="20" t="s">
        <v>419</v>
      </c>
      <c r="Q44" s="15" t="s">
        <v>420</v>
      </c>
      <c r="R44" s="21" t="s">
        <v>71</v>
      </c>
      <c r="S44" s="22"/>
      <c r="T44" s="23"/>
      <c r="U44" s="14" t="s">
        <v>264</v>
      </c>
      <c r="V44" s="14" t="n">
        <v>397758004</v>
      </c>
    </row>
    <row r="45" customFormat="false" ht="39.75" hidden="false" customHeight="true" outlineLevel="0" collapsed="false">
      <c r="A45" s="24" t="s">
        <v>12</v>
      </c>
      <c r="B45" s="14" t="s">
        <v>390</v>
      </c>
      <c r="C45" s="15" t="s">
        <v>421</v>
      </c>
      <c r="D45" s="15" t="s">
        <v>414</v>
      </c>
      <c r="E45" s="16" t="s">
        <v>422</v>
      </c>
      <c r="F45" s="14" t="s">
        <v>257</v>
      </c>
      <c r="G45" s="14" t="s">
        <v>423</v>
      </c>
      <c r="H45" s="15"/>
      <c r="I45" s="15" t="s">
        <v>424</v>
      </c>
      <c r="J45" s="15" t="s">
        <v>425</v>
      </c>
      <c r="K45" s="15" t="s">
        <v>67</v>
      </c>
      <c r="L45" s="17" t="n">
        <v>67</v>
      </c>
      <c r="M45" s="18" t="n">
        <v>14297000</v>
      </c>
      <c r="N45" s="19" t="n">
        <v>2016</v>
      </c>
      <c r="O45" s="15"/>
      <c r="P45" s="20" t="s">
        <v>426</v>
      </c>
      <c r="Q45" s="15"/>
      <c r="R45" s="21" t="s">
        <v>71</v>
      </c>
      <c r="S45" s="22"/>
      <c r="T45" s="23"/>
      <c r="U45" s="14" t="s">
        <v>264</v>
      </c>
      <c r="V45" s="14" t="n">
        <v>403845227</v>
      </c>
    </row>
    <row r="46" customFormat="false" ht="39.75" hidden="false" customHeight="true" outlineLevel="0" collapsed="false">
      <c r="A46" s="24" t="s">
        <v>12</v>
      </c>
      <c r="B46" s="14" t="s">
        <v>390</v>
      </c>
      <c r="C46" s="15" t="s">
        <v>427</v>
      </c>
      <c r="D46" s="15" t="s">
        <v>428</v>
      </c>
      <c r="E46" s="16" t="s">
        <v>429</v>
      </c>
      <c r="F46" s="14" t="s">
        <v>257</v>
      </c>
      <c r="G46" s="14" t="s">
        <v>430</v>
      </c>
      <c r="H46" s="15" t="s">
        <v>431</v>
      </c>
      <c r="I46" s="15"/>
      <c r="J46" s="15" t="s">
        <v>432</v>
      </c>
      <c r="K46" s="15" t="s">
        <v>67</v>
      </c>
      <c r="L46" s="17" t="n">
        <v>35</v>
      </c>
      <c r="M46" s="18" t="n">
        <v>5895000</v>
      </c>
      <c r="N46" s="19" t="n">
        <v>1987</v>
      </c>
      <c r="O46" s="15"/>
      <c r="P46" s="20" t="s">
        <v>433</v>
      </c>
      <c r="Q46" s="15" t="s">
        <v>434</v>
      </c>
      <c r="R46" s="21" t="s">
        <v>71</v>
      </c>
      <c r="S46" s="22"/>
      <c r="T46" s="23"/>
      <c r="U46" s="14" t="s">
        <v>264</v>
      </c>
      <c r="V46" s="14" t="n">
        <v>348042852</v>
      </c>
    </row>
    <row r="47" customFormat="false" ht="39.75" hidden="false" customHeight="true" outlineLevel="0" collapsed="false">
      <c r="A47" s="24" t="s">
        <v>12</v>
      </c>
      <c r="B47" s="14" t="s">
        <v>390</v>
      </c>
      <c r="C47" s="15" t="s">
        <v>435</v>
      </c>
      <c r="D47" s="15" t="s">
        <v>436</v>
      </c>
      <c r="E47" s="16" t="s">
        <v>437</v>
      </c>
      <c r="F47" s="14" t="s">
        <v>257</v>
      </c>
      <c r="G47" s="14" t="s">
        <v>438</v>
      </c>
      <c r="H47" s="15"/>
      <c r="I47" s="15" t="s">
        <v>439</v>
      </c>
      <c r="J47" s="15" t="s">
        <v>440</v>
      </c>
      <c r="K47" s="15" t="s">
        <v>67</v>
      </c>
      <c r="L47" s="17" t="n">
        <v>23</v>
      </c>
      <c r="M47" s="18" t="n">
        <v>4972000</v>
      </c>
      <c r="N47" s="19" t="n">
        <v>1981</v>
      </c>
      <c r="O47" s="15"/>
      <c r="P47" s="20" t="s">
        <v>441</v>
      </c>
      <c r="Q47" s="15" t="s">
        <v>442</v>
      </c>
      <c r="R47" s="21" t="s">
        <v>71</v>
      </c>
      <c r="S47" s="22"/>
      <c r="T47" s="23"/>
      <c r="U47" s="14" t="s">
        <v>264</v>
      </c>
      <c r="V47" s="14"/>
    </row>
    <row r="48" customFormat="false" ht="39.75" hidden="false" customHeight="true" outlineLevel="0" collapsed="false">
      <c r="A48" s="25" t="s">
        <v>14</v>
      </c>
      <c r="B48" s="14" t="s">
        <v>390</v>
      </c>
      <c r="C48" s="15" t="s">
        <v>443</v>
      </c>
      <c r="D48" s="15" t="s">
        <v>444</v>
      </c>
      <c r="E48" s="16" t="s">
        <v>445</v>
      </c>
      <c r="F48" s="14" t="s">
        <v>257</v>
      </c>
      <c r="G48" s="14" t="s">
        <v>446</v>
      </c>
      <c r="H48" s="15" t="s">
        <v>447</v>
      </c>
      <c r="I48" s="15"/>
      <c r="J48" s="15" t="s">
        <v>448</v>
      </c>
      <c r="K48" s="15" t="s">
        <v>67</v>
      </c>
      <c r="L48" s="17" t="n">
        <v>403</v>
      </c>
      <c r="M48" s="18" t="n">
        <v>11440000</v>
      </c>
      <c r="N48" s="19" t="n">
        <v>1994</v>
      </c>
      <c r="O48" s="15" t="s">
        <v>449</v>
      </c>
      <c r="P48" s="20" t="s">
        <v>450</v>
      </c>
      <c r="Q48" s="15" t="s">
        <v>451</v>
      </c>
      <c r="R48" s="21" t="s">
        <v>71</v>
      </c>
      <c r="S48" s="22"/>
      <c r="T48" s="23"/>
      <c r="U48" s="14" t="s">
        <v>264</v>
      </c>
      <c r="V48" s="14" t="n">
        <v>2556714</v>
      </c>
    </row>
    <row r="49" customFormat="false" ht="39.75" hidden="false" customHeight="true" outlineLevel="0" collapsed="false">
      <c r="A49" s="25" t="s">
        <v>14</v>
      </c>
      <c r="B49" s="14" t="s">
        <v>390</v>
      </c>
      <c r="C49" s="15" t="s">
        <v>452</v>
      </c>
      <c r="D49" s="15" t="s">
        <v>453</v>
      </c>
      <c r="E49" s="16" t="s">
        <v>454</v>
      </c>
      <c r="F49" s="14" t="s">
        <v>257</v>
      </c>
      <c r="G49" s="14" t="s">
        <v>455</v>
      </c>
      <c r="H49" s="15"/>
      <c r="I49" s="15" t="s">
        <v>456</v>
      </c>
      <c r="J49" s="15" t="s">
        <v>457</v>
      </c>
      <c r="K49" s="15" t="s">
        <v>67</v>
      </c>
      <c r="L49" s="17" t="n">
        <v>64</v>
      </c>
      <c r="M49" s="18" t="n">
        <v>7935000</v>
      </c>
      <c r="N49" s="19" t="n">
        <v>1999</v>
      </c>
      <c r="O49" s="15"/>
      <c r="P49" s="20" t="s">
        <v>458</v>
      </c>
      <c r="Q49" s="15"/>
      <c r="R49" s="21" t="s">
        <v>71</v>
      </c>
      <c r="S49" s="22"/>
      <c r="T49" s="23"/>
      <c r="U49" s="14" t="s">
        <v>264</v>
      </c>
      <c r="V49" s="14" t="n">
        <v>348228861</v>
      </c>
    </row>
    <row r="50" customFormat="false" ht="39.75" hidden="false" customHeight="true" outlineLevel="0" collapsed="false">
      <c r="A50" s="25" t="s">
        <v>14</v>
      </c>
      <c r="B50" s="14" t="s">
        <v>390</v>
      </c>
      <c r="C50" s="15" t="s">
        <v>459</v>
      </c>
      <c r="D50" s="15" t="s">
        <v>460</v>
      </c>
      <c r="E50" s="16" t="s">
        <v>461</v>
      </c>
      <c r="F50" s="14" t="s">
        <v>257</v>
      </c>
      <c r="G50" s="14" t="s">
        <v>462</v>
      </c>
      <c r="H50" s="15"/>
      <c r="I50" s="15"/>
      <c r="J50" s="15" t="s">
        <v>463</v>
      </c>
      <c r="K50" s="15" t="s">
        <v>67</v>
      </c>
      <c r="L50" s="17" t="n">
        <v>63</v>
      </c>
      <c r="M50" s="18" t="n">
        <v>15013000</v>
      </c>
      <c r="N50" s="19" t="n">
        <v>2016</v>
      </c>
      <c r="O50" s="15" t="s">
        <v>464</v>
      </c>
      <c r="P50" s="20" t="s">
        <v>465</v>
      </c>
      <c r="Q50" s="15" t="s">
        <v>466</v>
      </c>
      <c r="R50" s="21" t="s">
        <v>71</v>
      </c>
      <c r="S50" s="22"/>
      <c r="T50" s="23"/>
      <c r="U50" s="14" t="s">
        <v>264</v>
      </c>
      <c r="V50" s="14" t="n">
        <v>395765368</v>
      </c>
    </row>
    <row r="51" customFormat="false" ht="39.75" hidden="false" customHeight="true" outlineLevel="0" collapsed="false">
      <c r="A51" s="25" t="s">
        <v>14</v>
      </c>
      <c r="B51" s="14" t="s">
        <v>390</v>
      </c>
      <c r="C51" s="15" t="s">
        <v>467</v>
      </c>
      <c r="D51" s="15" t="s">
        <v>468</v>
      </c>
      <c r="E51" s="16" t="s">
        <v>469</v>
      </c>
      <c r="F51" s="14" t="s">
        <v>257</v>
      </c>
      <c r="G51" s="14" t="s">
        <v>470</v>
      </c>
      <c r="H51" s="15"/>
      <c r="I51" s="15"/>
      <c r="J51" s="15" t="s">
        <v>471</v>
      </c>
      <c r="K51" s="15" t="s">
        <v>67</v>
      </c>
      <c r="L51" s="17" t="n">
        <v>32</v>
      </c>
      <c r="M51" s="18" t="n">
        <v>6756000</v>
      </c>
      <c r="N51" s="19"/>
      <c r="O51" s="15"/>
      <c r="P51" s="20" t="s">
        <v>472</v>
      </c>
      <c r="Q51" s="15"/>
      <c r="R51" s="21" t="s">
        <v>71</v>
      </c>
      <c r="S51" s="22"/>
      <c r="T51" s="23"/>
      <c r="U51" s="14" t="s">
        <v>264</v>
      </c>
      <c r="V51" s="14" t="n">
        <v>541625269</v>
      </c>
    </row>
    <row r="52" customFormat="false" ht="39.75" hidden="false" customHeight="true" outlineLevel="0" collapsed="false">
      <c r="A52" s="13" t="s">
        <v>10</v>
      </c>
      <c r="B52" s="14" t="s">
        <v>473</v>
      </c>
      <c r="C52" s="15" t="s">
        <v>474</v>
      </c>
      <c r="D52" s="15" t="s">
        <v>475</v>
      </c>
      <c r="E52" s="16" t="s">
        <v>476</v>
      </c>
      <c r="F52" s="14" t="s">
        <v>477</v>
      </c>
      <c r="G52" s="14" t="s">
        <v>478</v>
      </c>
      <c r="H52" s="15" t="s">
        <v>479</v>
      </c>
      <c r="I52" s="15" t="s">
        <v>480</v>
      </c>
      <c r="J52" s="15" t="s">
        <v>481</v>
      </c>
      <c r="K52" s="15" t="s">
        <v>67</v>
      </c>
      <c r="L52" s="17" t="n">
        <v>410</v>
      </c>
      <c r="M52" s="18" t="n">
        <v>24761000</v>
      </c>
      <c r="N52" s="19" t="n">
        <v>1947</v>
      </c>
      <c r="O52" s="15"/>
      <c r="P52" s="20" t="s">
        <v>482</v>
      </c>
      <c r="Q52" s="15" t="s">
        <v>483</v>
      </c>
      <c r="R52" s="21" t="s">
        <v>71</v>
      </c>
      <c r="S52" s="22"/>
      <c r="T52" s="23"/>
      <c r="U52" s="14" t="s">
        <v>484</v>
      </c>
      <c r="V52" s="14" t="n">
        <v>30739950</v>
      </c>
    </row>
    <row r="53" customFormat="false" ht="39.75" hidden="false" customHeight="true" outlineLevel="0" collapsed="false">
      <c r="A53" s="13" t="s">
        <v>10</v>
      </c>
      <c r="B53" s="14" t="s">
        <v>473</v>
      </c>
      <c r="C53" s="15" t="s">
        <v>485</v>
      </c>
      <c r="D53" s="15" t="s">
        <v>486</v>
      </c>
      <c r="E53" s="16" t="s">
        <v>487</v>
      </c>
      <c r="F53" s="14" t="s">
        <v>477</v>
      </c>
      <c r="G53" s="14" t="s">
        <v>488</v>
      </c>
      <c r="H53" s="15"/>
      <c r="I53" s="15" t="s">
        <v>489</v>
      </c>
      <c r="J53" s="15" t="s">
        <v>490</v>
      </c>
      <c r="K53" s="15" t="s">
        <v>67</v>
      </c>
      <c r="L53" s="17" t="n">
        <v>82</v>
      </c>
      <c r="M53" s="18" t="n">
        <v>5328000</v>
      </c>
      <c r="N53" s="19" t="n">
        <v>2008</v>
      </c>
      <c r="O53" s="15"/>
      <c r="P53" s="20" t="s">
        <v>491</v>
      </c>
      <c r="Q53" s="15" t="s">
        <v>492</v>
      </c>
      <c r="R53" s="21" t="s">
        <v>71</v>
      </c>
      <c r="S53" s="22"/>
      <c r="T53" s="23"/>
      <c r="U53" s="14" t="s">
        <v>484</v>
      </c>
      <c r="V53" s="14" t="n">
        <v>344599909</v>
      </c>
    </row>
    <row r="54" customFormat="false" ht="39.75" hidden="false" customHeight="true" outlineLevel="0" collapsed="false">
      <c r="A54" s="24" t="s">
        <v>12</v>
      </c>
      <c r="B54" s="14" t="s">
        <v>473</v>
      </c>
      <c r="C54" s="15" t="s">
        <v>493</v>
      </c>
      <c r="D54" s="15" t="s">
        <v>494</v>
      </c>
      <c r="E54" s="16" t="s">
        <v>495</v>
      </c>
      <c r="F54" s="14" t="s">
        <v>477</v>
      </c>
      <c r="G54" s="14" t="s">
        <v>496</v>
      </c>
      <c r="H54" s="15"/>
      <c r="I54" s="15" t="s">
        <v>497</v>
      </c>
      <c r="J54" s="15" t="s">
        <v>498</v>
      </c>
      <c r="K54" s="15" t="s">
        <v>67</v>
      </c>
      <c r="L54" s="17" t="n">
        <v>55</v>
      </c>
      <c r="M54" s="18" t="n">
        <v>14197000</v>
      </c>
      <c r="N54" s="19" t="n">
        <v>1985</v>
      </c>
      <c r="O54" s="15"/>
      <c r="P54" s="20" t="s">
        <v>499</v>
      </c>
      <c r="Q54" s="15" t="s">
        <v>500</v>
      </c>
      <c r="R54" s="21" t="s">
        <v>71</v>
      </c>
      <c r="S54" s="22"/>
      <c r="T54" s="23"/>
      <c r="U54" s="14" t="s">
        <v>484</v>
      </c>
      <c r="V54" s="14" t="n">
        <v>359188055</v>
      </c>
    </row>
    <row r="55" customFormat="false" ht="39.75" hidden="false" customHeight="true" outlineLevel="0" collapsed="false">
      <c r="A55" s="24" t="s">
        <v>12</v>
      </c>
      <c r="B55" s="14" t="s">
        <v>473</v>
      </c>
      <c r="C55" s="15" t="s">
        <v>501</v>
      </c>
      <c r="D55" s="15" t="s">
        <v>502</v>
      </c>
      <c r="E55" s="16" t="s">
        <v>503</v>
      </c>
      <c r="F55" s="14" t="s">
        <v>477</v>
      </c>
      <c r="G55" s="14" t="s">
        <v>504</v>
      </c>
      <c r="H55" s="15"/>
      <c r="I55" s="15" t="s">
        <v>505</v>
      </c>
      <c r="J55" s="15" t="s">
        <v>506</v>
      </c>
      <c r="K55" s="15" t="s">
        <v>67</v>
      </c>
      <c r="L55" s="17" t="n">
        <v>34</v>
      </c>
      <c r="M55" s="18" t="n">
        <v>6880000</v>
      </c>
      <c r="N55" s="19" t="n">
        <v>1988</v>
      </c>
      <c r="O55" s="15"/>
      <c r="P55" s="20" t="s">
        <v>507</v>
      </c>
      <c r="Q55" s="15"/>
      <c r="R55" s="21" t="s">
        <v>71</v>
      </c>
      <c r="S55" s="22"/>
      <c r="T55" s="23"/>
      <c r="U55" s="14" t="s">
        <v>484</v>
      </c>
      <c r="V55" s="14" t="n">
        <v>353985624</v>
      </c>
    </row>
    <row r="56" customFormat="false" ht="39.75" hidden="false" customHeight="true" outlineLevel="0" collapsed="false">
      <c r="A56" s="24" t="s">
        <v>12</v>
      </c>
      <c r="B56" s="14" t="s">
        <v>473</v>
      </c>
      <c r="C56" s="15" t="s">
        <v>508</v>
      </c>
      <c r="D56" s="15" t="s">
        <v>509</v>
      </c>
      <c r="E56" s="16" t="s">
        <v>510</v>
      </c>
      <c r="F56" s="14" t="s">
        <v>477</v>
      </c>
      <c r="G56" s="14" t="s">
        <v>511</v>
      </c>
      <c r="H56" s="15"/>
      <c r="I56" s="15" t="s">
        <v>512</v>
      </c>
      <c r="J56" s="15" t="s">
        <v>513</v>
      </c>
      <c r="K56" s="15" t="s">
        <v>67</v>
      </c>
      <c r="L56" s="17" t="n">
        <v>27</v>
      </c>
      <c r="M56" s="18" t="n">
        <v>1517000</v>
      </c>
      <c r="N56" s="19"/>
      <c r="O56" s="15"/>
      <c r="P56" s="20" t="s">
        <v>514</v>
      </c>
      <c r="Q56" s="15" t="s">
        <v>515</v>
      </c>
      <c r="R56" s="21" t="s">
        <v>71</v>
      </c>
      <c r="S56" s="22"/>
      <c r="T56" s="23"/>
      <c r="U56" s="14" t="s">
        <v>484</v>
      </c>
      <c r="V56" s="14" t="n">
        <v>343333439</v>
      </c>
    </row>
    <row r="57" customFormat="false" ht="39.75" hidden="false" customHeight="true" outlineLevel="0" collapsed="false">
      <c r="A57" s="25" t="s">
        <v>14</v>
      </c>
      <c r="B57" s="14" t="s">
        <v>473</v>
      </c>
      <c r="C57" s="15" t="s">
        <v>516</v>
      </c>
      <c r="D57" s="15" t="s">
        <v>517</v>
      </c>
      <c r="E57" s="16" t="s">
        <v>518</v>
      </c>
      <c r="F57" s="14" t="s">
        <v>477</v>
      </c>
      <c r="G57" s="14" t="s">
        <v>519</v>
      </c>
      <c r="H57" s="15"/>
      <c r="I57" s="15"/>
      <c r="J57" s="15" t="s">
        <v>520</v>
      </c>
      <c r="K57" s="15" t="s">
        <v>67</v>
      </c>
      <c r="L57" s="17" t="n">
        <v>701</v>
      </c>
      <c r="M57" s="18" t="n">
        <v>19784000</v>
      </c>
      <c r="N57" s="19" t="n">
        <v>1974</v>
      </c>
      <c r="O57" s="15" t="s">
        <v>521</v>
      </c>
      <c r="P57" s="20" t="s">
        <v>522</v>
      </c>
      <c r="Q57" s="15" t="s">
        <v>523</v>
      </c>
      <c r="R57" s="21" t="s">
        <v>71</v>
      </c>
      <c r="S57" s="22"/>
      <c r="T57" s="23"/>
      <c r="U57" s="14" t="s">
        <v>484</v>
      </c>
      <c r="V57" s="14" t="n">
        <v>56511689</v>
      </c>
    </row>
    <row r="58" customFormat="false" ht="39.75" hidden="false" customHeight="true" outlineLevel="0" collapsed="false">
      <c r="A58" s="25" t="s">
        <v>14</v>
      </c>
      <c r="B58" s="14" t="s">
        <v>473</v>
      </c>
      <c r="C58" s="15" t="s">
        <v>524</v>
      </c>
      <c r="D58" s="15" t="s">
        <v>525</v>
      </c>
      <c r="E58" s="16" t="s">
        <v>526</v>
      </c>
      <c r="F58" s="14" t="s">
        <v>477</v>
      </c>
      <c r="G58" s="14" t="s">
        <v>527</v>
      </c>
      <c r="H58" s="15"/>
      <c r="I58" s="15" t="s">
        <v>528</v>
      </c>
      <c r="J58" s="15" t="s">
        <v>529</v>
      </c>
      <c r="K58" s="15" t="s">
        <v>67</v>
      </c>
      <c r="L58" s="17" t="n">
        <v>71</v>
      </c>
      <c r="M58" s="18" t="n">
        <v>18870000</v>
      </c>
      <c r="N58" s="19" t="n">
        <v>1998</v>
      </c>
      <c r="O58" s="15"/>
      <c r="P58" s="20" t="s">
        <v>530</v>
      </c>
      <c r="Q58" s="15" t="s">
        <v>531</v>
      </c>
      <c r="R58" s="21" t="s">
        <v>71</v>
      </c>
      <c r="S58" s="22"/>
      <c r="T58" s="23"/>
      <c r="U58" s="14" t="s">
        <v>484</v>
      </c>
      <c r="V58" s="14" t="n">
        <v>76400508</v>
      </c>
    </row>
    <row r="59" customFormat="false" ht="39.75" hidden="false" customHeight="true" outlineLevel="0" collapsed="false">
      <c r="A59" s="25" t="s">
        <v>14</v>
      </c>
      <c r="B59" s="14" t="s">
        <v>473</v>
      </c>
      <c r="C59" s="15" t="s">
        <v>532</v>
      </c>
      <c r="D59" s="15" t="s">
        <v>533</v>
      </c>
      <c r="E59" s="16" t="s">
        <v>534</v>
      </c>
      <c r="F59" s="14" t="s">
        <v>477</v>
      </c>
      <c r="G59" s="14" t="s">
        <v>535</v>
      </c>
      <c r="H59" s="15"/>
      <c r="I59" s="15" t="s">
        <v>536</v>
      </c>
      <c r="J59" s="15" t="s">
        <v>537</v>
      </c>
      <c r="K59" s="15" t="s">
        <v>67</v>
      </c>
      <c r="L59" s="17" t="n">
        <v>21</v>
      </c>
      <c r="M59" s="18" t="n">
        <v>13683000</v>
      </c>
      <c r="N59" s="19" t="n">
        <v>1921</v>
      </c>
      <c r="O59" s="15"/>
      <c r="P59" s="20" t="s">
        <v>538</v>
      </c>
      <c r="Q59" s="15" t="s">
        <v>539</v>
      </c>
      <c r="R59" s="21" t="s">
        <v>71</v>
      </c>
      <c r="S59" s="22"/>
      <c r="T59" s="23"/>
      <c r="U59" s="14" t="s">
        <v>484</v>
      </c>
      <c r="V59" s="14"/>
    </row>
    <row r="60" customFormat="false" ht="39.75" hidden="false" customHeight="true" outlineLevel="0" collapsed="false">
      <c r="A60" s="13" t="s">
        <v>10</v>
      </c>
      <c r="B60" s="14" t="s">
        <v>540</v>
      </c>
      <c r="C60" s="15" t="s">
        <v>541</v>
      </c>
      <c r="D60" s="15" t="s">
        <v>542</v>
      </c>
      <c r="E60" s="16" t="s">
        <v>543</v>
      </c>
      <c r="F60" s="14" t="s">
        <v>477</v>
      </c>
      <c r="G60" s="14" t="s">
        <v>544</v>
      </c>
      <c r="H60" s="15" t="s">
        <v>545</v>
      </c>
      <c r="I60" s="15" t="s">
        <v>546</v>
      </c>
      <c r="J60" s="15" t="s">
        <v>547</v>
      </c>
      <c r="K60" s="26" t="s">
        <v>548</v>
      </c>
      <c r="L60" s="17" t="n">
        <v>280</v>
      </c>
      <c r="M60" s="18" t="n">
        <v>66695000</v>
      </c>
      <c r="N60" s="19" t="n">
        <v>1978</v>
      </c>
      <c r="O60" s="15"/>
      <c r="P60" s="20" t="s">
        <v>549</v>
      </c>
      <c r="Q60" s="15" t="s">
        <v>550</v>
      </c>
      <c r="R60" s="21" t="s">
        <v>71</v>
      </c>
      <c r="S60" s="22"/>
      <c r="T60" s="23"/>
      <c r="U60" s="14" t="s">
        <v>484</v>
      </c>
      <c r="V60" s="14" t="n">
        <v>80937600</v>
      </c>
    </row>
    <row r="61" customFormat="false" ht="39.75" hidden="false" customHeight="true" outlineLevel="0" collapsed="false">
      <c r="A61" s="13" t="s">
        <v>10</v>
      </c>
      <c r="B61" s="14" t="s">
        <v>540</v>
      </c>
      <c r="C61" s="15" t="s">
        <v>551</v>
      </c>
      <c r="D61" s="15" t="s">
        <v>552</v>
      </c>
      <c r="E61" s="16" t="s">
        <v>553</v>
      </c>
      <c r="F61" s="14" t="s">
        <v>477</v>
      </c>
      <c r="G61" s="14" t="s">
        <v>554</v>
      </c>
      <c r="H61" s="15" t="s">
        <v>555</v>
      </c>
      <c r="I61" s="15" t="s">
        <v>556</v>
      </c>
      <c r="J61" s="15" t="s">
        <v>557</v>
      </c>
      <c r="K61" s="15" t="s">
        <v>67</v>
      </c>
      <c r="L61" s="17" t="n">
        <v>135</v>
      </c>
      <c r="M61" s="18" t="n">
        <v>99989000</v>
      </c>
      <c r="N61" s="19" t="n">
        <v>1970</v>
      </c>
      <c r="O61" s="15"/>
      <c r="P61" s="20" t="s">
        <v>558</v>
      </c>
      <c r="Q61" s="15" t="s">
        <v>559</v>
      </c>
      <c r="R61" s="21" t="s">
        <v>71</v>
      </c>
      <c r="S61" s="22"/>
      <c r="T61" s="23"/>
      <c r="U61" s="14" t="s">
        <v>484</v>
      </c>
      <c r="V61" s="14" t="n">
        <v>16239075</v>
      </c>
    </row>
    <row r="62" customFormat="false" ht="39.75" hidden="false" customHeight="true" outlineLevel="0" collapsed="false">
      <c r="A62" s="13" t="s">
        <v>10</v>
      </c>
      <c r="B62" s="14" t="s">
        <v>540</v>
      </c>
      <c r="C62" s="15" t="s">
        <v>560</v>
      </c>
      <c r="D62" s="15" t="s">
        <v>561</v>
      </c>
      <c r="E62" s="16" t="s">
        <v>562</v>
      </c>
      <c r="F62" s="14" t="s">
        <v>477</v>
      </c>
      <c r="G62" s="14" t="s">
        <v>563</v>
      </c>
      <c r="H62" s="15" t="s">
        <v>564</v>
      </c>
      <c r="I62" s="15" t="s">
        <v>565</v>
      </c>
      <c r="J62" s="15" t="s">
        <v>566</v>
      </c>
      <c r="K62" s="15" t="s">
        <v>67</v>
      </c>
      <c r="L62" s="17" t="n">
        <v>102</v>
      </c>
      <c r="M62" s="18" t="n">
        <v>18379000</v>
      </c>
      <c r="N62" s="19" t="n">
        <v>1972</v>
      </c>
      <c r="O62" s="15"/>
      <c r="P62" s="20" t="s">
        <v>567</v>
      </c>
      <c r="Q62" s="15" t="s">
        <v>568</v>
      </c>
      <c r="R62" s="21" t="s">
        <v>71</v>
      </c>
      <c r="S62" s="22"/>
      <c r="T62" s="23"/>
      <c r="U62" s="14" t="s">
        <v>484</v>
      </c>
      <c r="V62" s="14" t="n">
        <v>193593434</v>
      </c>
    </row>
    <row r="63" customFormat="false" ht="39.75" hidden="false" customHeight="true" outlineLevel="0" collapsed="false">
      <c r="A63" s="13" t="s">
        <v>10</v>
      </c>
      <c r="B63" s="14" t="s">
        <v>540</v>
      </c>
      <c r="C63" s="15" t="s">
        <v>569</v>
      </c>
      <c r="D63" s="15" t="s">
        <v>570</v>
      </c>
      <c r="E63" s="16" t="s">
        <v>571</v>
      </c>
      <c r="F63" s="14" t="s">
        <v>477</v>
      </c>
      <c r="G63" s="14" t="s">
        <v>572</v>
      </c>
      <c r="H63" s="15" t="s">
        <v>573</v>
      </c>
      <c r="I63" s="15" t="s">
        <v>574</v>
      </c>
      <c r="J63" s="15" t="s">
        <v>575</v>
      </c>
      <c r="K63" s="15" t="s">
        <v>67</v>
      </c>
      <c r="L63" s="17" t="n">
        <v>76</v>
      </c>
      <c r="M63" s="18" t="n">
        <v>18177000</v>
      </c>
      <c r="N63" s="19" t="n">
        <v>1969</v>
      </c>
      <c r="O63" s="15"/>
      <c r="P63" s="20" t="s">
        <v>576</v>
      </c>
      <c r="Q63" s="15" t="s">
        <v>577</v>
      </c>
      <c r="R63" s="21" t="s">
        <v>71</v>
      </c>
      <c r="S63" s="22"/>
      <c r="T63" s="23"/>
      <c r="U63" s="14" t="s">
        <v>484</v>
      </c>
      <c r="V63" s="14" t="n">
        <v>50678002</v>
      </c>
    </row>
    <row r="64" customFormat="false" ht="39.75" hidden="false" customHeight="true" outlineLevel="0" collapsed="false">
      <c r="A64" s="13" t="s">
        <v>10</v>
      </c>
      <c r="B64" s="14" t="s">
        <v>540</v>
      </c>
      <c r="C64" s="15" t="s">
        <v>578</v>
      </c>
      <c r="D64" s="15" t="s">
        <v>579</v>
      </c>
      <c r="E64" s="16" t="s">
        <v>580</v>
      </c>
      <c r="F64" s="14" t="s">
        <v>477</v>
      </c>
      <c r="G64" s="14" t="s">
        <v>581</v>
      </c>
      <c r="H64" s="15" t="s">
        <v>582</v>
      </c>
      <c r="I64" s="15" t="s">
        <v>583</v>
      </c>
      <c r="J64" s="15" t="s">
        <v>584</v>
      </c>
      <c r="K64" s="15" t="s">
        <v>67</v>
      </c>
      <c r="L64" s="17" t="n">
        <v>73</v>
      </c>
      <c r="M64" s="18" t="n">
        <v>18507000</v>
      </c>
      <c r="N64" s="19" t="n">
        <v>1952</v>
      </c>
      <c r="O64" s="15"/>
      <c r="P64" s="20" t="s">
        <v>585</v>
      </c>
      <c r="Q64" s="15" t="s">
        <v>586</v>
      </c>
      <c r="R64" s="21" t="s">
        <v>71</v>
      </c>
      <c r="S64" s="22"/>
      <c r="T64" s="23"/>
      <c r="U64" s="14" t="s">
        <v>484</v>
      </c>
      <c r="V64" s="14" t="n">
        <v>352771180</v>
      </c>
    </row>
    <row r="65" customFormat="false" ht="39.75" hidden="false" customHeight="true" outlineLevel="0" collapsed="false">
      <c r="A65" s="13" t="s">
        <v>10</v>
      </c>
      <c r="B65" s="14" t="s">
        <v>540</v>
      </c>
      <c r="C65" s="15" t="s">
        <v>587</v>
      </c>
      <c r="D65" s="15" t="s">
        <v>588</v>
      </c>
      <c r="E65" s="16" t="s">
        <v>589</v>
      </c>
      <c r="F65" s="14" t="s">
        <v>477</v>
      </c>
      <c r="G65" s="14" t="s">
        <v>590</v>
      </c>
      <c r="H65" s="15" t="s">
        <v>591</v>
      </c>
      <c r="I65" s="15"/>
      <c r="J65" s="15" t="s">
        <v>592</v>
      </c>
      <c r="K65" s="15" t="s">
        <v>67</v>
      </c>
      <c r="L65" s="17" t="n">
        <v>54</v>
      </c>
      <c r="M65" s="18" t="n">
        <v>6341000</v>
      </c>
      <c r="N65" s="19" t="n">
        <v>1977</v>
      </c>
      <c r="O65" s="15" t="s">
        <v>593</v>
      </c>
      <c r="P65" s="20" t="s">
        <v>594</v>
      </c>
      <c r="Q65" s="15" t="s">
        <v>595</v>
      </c>
      <c r="R65" s="21" t="s">
        <v>71</v>
      </c>
      <c r="S65" s="22"/>
      <c r="T65" s="23"/>
      <c r="U65" s="14" t="s">
        <v>484</v>
      </c>
      <c r="V65" s="14" t="n">
        <v>32690370</v>
      </c>
    </row>
    <row r="66" customFormat="false" ht="39.75" hidden="false" customHeight="true" outlineLevel="0" collapsed="false">
      <c r="A66" s="24" t="s">
        <v>12</v>
      </c>
      <c r="B66" s="14" t="s">
        <v>540</v>
      </c>
      <c r="C66" s="15" t="s">
        <v>596</v>
      </c>
      <c r="D66" s="15" t="s">
        <v>597</v>
      </c>
      <c r="E66" s="16" t="s">
        <v>598</v>
      </c>
      <c r="F66" s="14" t="s">
        <v>477</v>
      </c>
      <c r="G66" s="14" t="s">
        <v>599</v>
      </c>
      <c r="H66" s="15"/>
      <c r="I66" s="15" t="s">
        <v>600</v>
      </c>
      <c r="J66" s="15" t="s">
        <v>601</v>
      </c>
      <c r="K66" s="15" t="s">
        <v>67</v>
      </c>
      <c r="L66" s="17" t="n">
        <v>127</v>
      </c>
      <c r="M66" s="18" t="n">
        <v>12799000</v>
      </c>
      <c r="N66" s="19" t="n">
        <v>1980</v>
      </c>
      <c r="O66" s="15"/>
      <c r="P66" s="20" t="s">
        <v>602</v>
      </c>
      <c r="Q66" s="15"/>
      <c r="R66" s="21" t="s">
        <v>71</v>
      </c>
      <c r="S66" s="22"/>
      <c r="T66" s="23"/>
      <c r="U66" s="14" t="s">
        <v>484</v>
      </c>
      <c r="V66" s="14" t="n">
        <v>6295262</v>
      </c>
    </row>
    <row r="67" customFormat="false" ht="39.75" hidden="false" customHeight="true" outlineLevel="0" collapsed="false">
      <c r="A67" s="24" t="s">
        <v>12</v>
      </c>
      <c r="B67" s="14" t="s">
        <v>540</v>
      </c>
      <c r="C67" s="15" t="s">
        <v>603</v>
      </c>
      <c r="D67" s="15" t="s">
        <v>604</v>
      </c>
      <c r="E67" s="16" t="s">
        <v>605</v>
      </c>
      <c r="F67" s="14" t="s">
        <v>477</v>
      </c>
      <c r="G67" s="14" t="s">
        <v>606</v>
      </c>
      <c r="H67" s="15"/>
      <c r="I67" s="15" t="s">
        <v>607</v>
      </c>
      <c r="J67" s="15" t="s">
        <v>608</v>
      </c>
      <c r="K67" s="15" t="s">
        <v>67</v>
      </c>
      <c r="L67" s="17" t="n">
        <v>42</v>
      </c>
      <c r="M67" s="18" t="n">
        <v>8590000</v>
      </c>
      <c r="N67" s="19" t="n">
        <v>1990</v>
      </c>
      <c r="O67" s="15"/>
      <c r="P67" s="20" t="s">
        <v>609</v>
      </c>
      <c r="Q67" s="15" t="s">
        <v>610</v>
      </c>
      <c r="R67" s="21" t="s">
        <v>71</v>
      </c>
      <c r="S67" s="22"/>
      <c r="T67" s="23"/>
      <c r="U67" s="14" t="s">
        <v>484</v>
      </c>
      <c r="V67" s="14" t="n">
        <v>43125676</v>
      </c>
    </row>
    <row r="68" customFormat="false" ht="39.75" hidden="false" customHeight="true" outlineLevel="0" collapsed="false">
      <c r="A68" s="24" t="s">
        <v>12</v>
      </c>
      <c r="B68" s="14" t="s">
        <v>540</v>
      </c>
      <c r="C68" s="15" t="s">
        <v>611</v>
      </c>
      <c r="D68" s="15" t="s">
        <v>612</v>
      </c>
      <c r="E68" s="16" t="s">
        <v>613</v>
      </c>
      <c r="F68" s="14" t="s">
        <v>477</v>
      </c>
      <c r="G68" s="14" t="s">
        <v>614</v>
      </c>
      <c r="H68" s="15"/>
      <c r="I68" s="15" t="s">
        <v>615</v>
      </c>
      <c r="J68" s="15" t="s">
        <v>616</v>
      </c>
      <c r="K68" s="15" t="s">
        <v>67</v>
      </c>
      <c r="L68" s="17" t="n">
        <v>36</v>
      </c>
      <c r="M68" s="18" t="n">
        <v>4909000</v>
      </c>
      <c r="N68" s="19" t="n">
        <v>1883</v>
      </c>
      <c r="O68" s="15"/>
      <c r="P68" s="20" t="s">
        <v>617</v>
      </c>
      <c r="Q68" s="15" t="s">
        <v>618</v>
      </c>
      <c r="R68" s="21" t="s">
        <v>71</v>
      </c>
      <c r="S68" s="22"/>
      <c r="T68" s="23"/>
      <c r="U68" s="14" t="s">
        <v>484</v>
      </c>
      <c r="V68" s="14" t="n">
        <v>92094650</v>
      </c>
    </row>
    <row r="69" customFormat="false" ht="39.75" hidden="false" customHeight="true" outlineLevel="0" collapsed="false">
      <c r="A69" s="24" t="s">
        <v>12</v>
      </c>
      <c r="B69" s="14" t="s">
        <v>540</v>
      </c>
      <c r="C69" s="15" t="s">
        <v>619</v>
      </c>
      <c r="D69" s="15" t="s">
        <v>620</v>
      </c>
      <c r="E69" s="16" t="s">
        <v>621</v>
      </c>
      <c r="F69" s="14" t="s">
        <v>477</v>
      </c>
      <c r="G69" s="14" t="s">
        <v>622</v>
      </c>
      <c r="H69" s="15"/>
      <c r="I69" s="15"/>
      <c r="J69" s="15" t="s">
        <v>623</v>
      </c>
      <c r="K69" s="15" t="s">
        <v>67</v>
      </c>
      <c r="L69" s="17" t="n">
        <v>28</v>
      </c>
      <c r="M69" s="18" t="n">
        <v>9315000</v>
      </c>
      <c r="N69" s="19" t="n">
        <v>2011</v>
      </c>
      <c r="O69" s="15"/>
      <c r="P69" s="20" t="s">
        <v>624</v>
      </c>
      <c r="Q69" s="15"/>
      <c r="R69" s="21" t="s">
        <v>71</v>
      </c>
      <c r="S69" s="22"/>
      <c r="T69" s="23"/>
      <c r="U69" s="14" t="s">
        <v>484</v>
      </c>
      <c r="V69" s="14" t="n">
        <v>122486882</v>
      </c>
    </row>
    <row r="70" customFormat="false" ht="39.75" hidden="false" customHeight="true" outlineLevel="0" collapsed="false">
      <c r="A70" s="25" t="s">
        <v>14</v>
      </c>
      <c r="B70" s="14" t="s">
        <v>540</v>
      </c>
      <c r="C70" s="15" t="s">
        <v>625</v>
      </c>
      <c r="D70" s="15" t="s">
        <v>626</v>
      </c>
      <c r="E70" s="16" t="s">
        <v>627</v>
      </c>
      <c r="F70" s="14" t="s">
        <v>477</v>
      </c>
      <c r="G70" s="14" t="s">
        <v>628</v>
      </c>
      <c r="H70" s="15"/>
      <c r="I70" s="15"/>
      <c r="J70" s="15" t="s">
        <v>629</v>
      </c>
      <c r="K70" s="15" t="s">
        <v>67</v>
      </c>
      <c r="L70" s="17" t="n">
        <v>1262</v>
      </c>
      <c r="M70" s="18" t="n">
        <v>36226000</v>
      </c>
      <c r="N70" s="19"/>
      <c r="O70" s="15"/>
      <c r="P70" s="20" t="s">
        <v>630</v>
      </c>
      <c r="Q70" s="15" t="s">
        <v>631</v>
      </c>
      <c r="R70" s="21" t="s">
        <v>71</v>
      </c>
      <c r="S70" s="22"/>
      <c r="T70" s="23"/>
      <c r="U70" s="14" t="s">
        <v>484</v>
      </c>
      <c r="V70" s="14" t="n">
        <v>35750136</v>
      </c>
    </row>
    <row r="71" customFormat="false" ht="39.75" hidden="false" customHeight="true" outlineLevel="0" collapsed="false">
      <c r="A71" s="25" t="s">
        <v>14</v>
      </c>
      <c r="B71" s="14" t="s">
        <v>540</v>
      </c>
      <c r="C71" s="15" t="s">
        <v>632</v>
      </c>
      <c r="D71" s="15" t="s">
        <v>633</v>
      </c>
      <c r="E71" s="16" t="s">
        <v>634</v>
      </c>
      <c r="F71" s="14" t="s">
        <v>477</v>
      </c>
      <c r="G71" s="14" t="s">
        <v>635</v>
      </c>
      <c r="H71" s="15"/>
      <c r="I71" s="15"/>
      <c r="J71" s="15" t="s">
        <v>636</v>
      </c>
      <c r="K71" s="15" t="s">
        <v>67</v>
      </c>
      <c r="L71" s="17" t="n">
        <v>72</v>
      </c>
      <c r="M71" s="18" t="n">
        <v>3145000</v>
      </c>
      <c r="N71" s="19" t="n">
        <v>1982</v>
      </c>
      <c r="O71" s="15"/>
      <c r="P71" s="20" t="s">
        <v>637</v>
      </c>
      <c r="Q71" s="15"/>
      <c r="R71" s="21" t="s">
        <v>71</v>
      </c>
      <c r="S71" s="22"/>
      <c r="T71" s="23"/>
      <c r="U71" s="14" t="s">
        <v>484</v>
      </c>
      <c r="V71" s="14" t="n">
        <v>405942027</v>
      </c>
    </row>
    <row r="72" customFormat="false" ht="39.75" hidden="false" customHeight="true" outlineLevel="0" collapsed="false">
      <c r="A72" s="25" t="s">
        <v>14</v>
      </c>
      <c r="B72" s="14" t="s">
        <v>540</v>
      </c>
      <c r="C72" s="15" t="s">
        <v>638</v>
      </c>
      <c r="D72" s="15" t="s">
        <v>639</v>
      </c>
      <c r="E72" s="16" t="s">
        <v>640</v>
      </c>
      <c r="F72" s="14" t="s">
        <v>477</v>
      </c>
      <c r="G72" s="14" t="s">
        <v>641</v>
      </c>
      <c r="H72" s="15"/>
      <c r="I72" s="15"/>
      <c r="J72" s="15" t="s">
        <v>642</v>
      </c>
      <c r="K72" s="15" t="s">
        <v>67</v>
      </c>
      <c r="L72" s="17" t="n">
        <v>30</v>
      </c>
      <c r="M72" s="18" t="n">
        <v>8271000</v>
      </c>
      <c r="N72" s="19"/>
      <c r="O72" s="15" t="s">
        <v>643</v>
      </c>
      <c r="P72" s="20" t="s">
        <v>644</v>
      </c>
      <c r="Q72" s="15" t="s">
        <v>645</v>
      </c>
      <c r="R72" s="21" t="s">
        <v>71</v>
      </c>
      <c r="S72" s="22"/>
      <c r="T72" s="23"/>
      <c r="U72" s="14" t="s">
        <v>484</v>
      </c>
      <c r="V72" s="14" t="n">
        <v>11619277</v>
      </c>
    </row>
    <row r="73" customFormat="false" ht="39.75" hidden="false" customHeight="true" outlineLevel="0" collapsed="false">
      <c r="A73" s="13" t="s">
        <v>10</v>
      </c>
      <c r="B73" s="14" t="s">
        <v>646</v>
      </c>
      <c r="C73" s="15" t="s">
        <v>647</v>
      </c>
      <c r="D73" s="15" t="s">
        <v>648</v>
      </c>
      <c r="E73" s="16" t="s">
        <v>649</v>
      </c>
      <c r="F73" s="14" t="s">
        <v>650</v>
      </c>
      <c r="G73" s="14" t="s">
        <v>651</v>
      </c>
      <c r="H73" s="15" t="s">
        <v>652</v>
      </c>
      <c r="I73" s="15" t="s">
        <v>653</v>
      </c>
      <c r="J73" s="15" t="s">
        <v>654</v>
      </c>
      <c r="K73" s="15" t="s">
        <v>67</v>
      </c>
      <c r="L73" s="17" t="n">
        <v>755</v>
      </c>
      <c r="M73" s="18" t="n">
        <v>34941000</v>
      </c>
      <c r="N73" s="19" t="n">
        <v>1998</v>
      </c>
      <c r="O73" s="15"/>
      <c r="P73" s="20" t="s">
        <v>655</v>
      </c>
      <c r="Q73" s="15" t="s">
        <v>656</v>
      </c>
      <c r="R73" s="21" t="s">
        <v>71</v>
      </c>
      <c r="S73" s="22"/>
      <c r="T73" s="23"/>
      <c r="U73" s="14" t="s">
        <v>657</v>
      </c>
      <c r="V73" s="14" t="n">
        <v>44024049</v>
      </c>
    </row>
    <row r="74" customFormat="false" ht="39.75" hidden="false" customHeight="true" outlineLevel="0" collapsed="false">
      <c r="A74" s="13" t="s">
        <v>10</v>
      </c>
      <c r="B74" s="14" t="s">
        <v>646</v>
      </c>
      <c r="C74" s="15" t="s">
        <v>658</v>
      </c>
      <c r="D74" s="15" t="s">
        <v>659</v>
      </c>
      <c r="E74" s="16" t="s">
        <v>660</v>
      </c>
      <c r="F74" s="14" t="s">
        <v>650</v>
      </c>
      <c r="G74" s="14" t="s">
        <v>661</v>
      </c>
      <c r="H74" s="15"/>
      <c r="I74" s="15"/>
      <c r="J74" s="15" t="s">
        <v>662</v>
      </c>
      <c r="K74" s="15" t="s">
        <v>67</v>
      </c>
      <c r="L74" s="17" t="n">
        <v>226</v>
      </c>
      <c r="M74" s="18" t="n">
        <v>54426000</v>
      </c>
      <c r="N74" s="19" t="n">
        <v>1992</v>
      </c>
      <c r="O74" s="15"/>
      <c r="P74" s="20" t="s">
        <v>663</v>
      </c>
      <c r="Q74" s="15" t="s">
        <v>664</v>
      </c>
      <c r="R74" s="21" t="s">
        <v>71</v>
      </c>
      <c r="S74" s="22"/>
      <c r="T74" s="23"/>
      <c r="U74" s="14" t="s">
        <v>657</v>
      </c>
      <c r="V74" s="14" t="n">
        <v>40865749</v>
      </c>
    </row>
    <row r="75" customFormat="false" ht="39.75" hidden="false" customHeight="true" outlineLevel="0" collapsed="false">
      <c r="A75" s="13" t="s">
        <v>10</v>
      </c>
      <c r="B75" s="14" t="s">
        <v>646</v>
      </c>
      <c r="C75" s="15" t="s">
        <v>665</v>
      </c>
      <c r="D75" s="15" t="s">
        <v>666</v>
      </c>
      <c r="E75" s="16" t="s">
        <v>667</v>
      </c>
      <c r="F75" s="14" t="s">
        <v>650</v>
      </c>
      <c r="G75" s="14" t="s">
        <v>668</v>
      </c>
      <c r="H75" s="15" t="s">
        <v>669</v>
      </c>
      <c r="I75" s="15" t="s">
        <v>670</v>
      </c>
      <c r="J75" s="15" t="s">
        <v>671</v>
      </c>
      <c r="K75" s="15" t="s">
        <v>67</v>
      </c>
      <c r="L75" s="17" t="n">
        <v>82</v>
      </c>
      <c r="M75" s="18" t="n">
        <v>23837000</v>
      </c>
      <c r="N75" s="19" t="n">
        <v>1949</v>
      </c>
      <c r="O75" s="15"/>
      <c r="P75" s="20" t="s">
        <v>672</v>
      </c>
      <c r="Q75" s="15" t="s">
        <v>673</v>
      </c>
      <c r="R75" s="21" t="s">
        <v>71</v>
      </c>
      <c r="S75" s="22"/>
      <c r="T75" s="23"/>
      <c r="U75" s="14" t="s">
        <v>657</v>
      </c>
      <c r="V75" s="14" t="n">
        <v>38076611</v>
      </c>
    </row>
    <row r="76" customFormat="false" ht="39.75" hidden="false" customHeight="true" outlineLevel="0" collapsed="false">
      <c r="A76" s="13" t="s">
        <v>10</v>
      </c>
      <c r="B76" s="14" t="s">
        <v>646</v>
      </c>
      <c r="C76" s="15" t="s">
        <v>674</v>
      </c>
      <c r="D76" s="15" t="s">
        <v>675</v>
      </c>
      <c r="E76" s="16" t="s">
        <v>676</v>
      </c>
      <c r="F76" s="14" t="s">
        <v>650</v>
      </c>
      <c r="G76" s="14" t="s">
        <v>677</v>
      </c>
      <c r="H76" s="15" t="s">
        <v>678</v>
      </c>
      <c r="I76" s="15" t="s">
        <v>679</v>
      </c>
      <c r="J76" s="15" t="s">
        <v>680</v>
      </c>
      <c r="K76" s="15" t="s">
        <v>67</v>
      </c>
      <c r="L76" s="17" t="n">
        <v>81</v>
      </c>
      <c r="M76" s="18" t="n">
        <v>37741000</v>
      </c>
      <c r="N76" s="19" t="n">
        <v>1984</v>
      </c>
      <c r="O76" s="15"/>
      <c r="P76" s="20" t="s">
        <v>681</v>
      </c>
      <c r="Q76" s="15"/>
      <c r="R76" s="21" t="s">
        <v>71</v>
      </c>
      <c r="S76" s="22"/>
      <c r="T76" s="23"/>
      <c r="U76" s="14" t="s">
        <v>657</v>
      </c>
      <c r="V76" s="14" t="n">
        <v>71779517</v>
      </c>
    </row>
    <row r="77" customFormat="false" ht="39.75" hidden="false" customHeight="true" outlineLevel="0" collapsed="false">
      <c r="A77" s="24" t="s">
        <v>12</v>
      </c>
      <c r="B77" s="14" t="s">
        <v>646</v>
      </c>
      <c r="C77" s="15" t="s">
        <v>682</v>
      </c>
      <c r="D77" s="15" t="s">
        <v>683</v>
      </c>
      <c r="E77" s="16" t="s">
        <v>684</v>
      </c>
      <c r="F77" s="14" t="s">
        <v>650</v>
      </c>
      <c r="G77" s="14" t="s">
        <v>685</v>
      </c>
      <c r="H77" s="15" t="s">
        <v>686</v>
      </c>
      <c r="I77" s="15" t="s">
        <v>687</v>
      </c>
      <c r="J77" s="15" t="s">
        <v>688</v>
      </c>
      <c r="K77" s="15" t="s">
        <v>67</v>
      </c>
      <c r="L77" s="17" t="n">
        <v>166</v>
      </c>
      <c r="M77" s="18" t="n">
        <v>5359000</v>
      </c>
      <c r="N77" s="19" t="n">
        <v>1972</v>
      </c>
      <c r="O77" s="15"/>
      <c r="P77" s="20" t="s">
        <v>689</v>
      </c>
      <c r="Q77" s="15"/>
      <c r="R77" s="21" t="s">
        <v>71</v>
      </c>
      <c r="S77" s="22"/>
      <c r="T77" s="23"/>
      <c r="U77" s="14" t="s">
        <v>657</v>
      </c>
      <c r="V77" s="14" t="n">
        <v>27394913</v>
      </c>
    </row>
    <row r="78" customFormat="false" ht="39.75" hidden="false" customHeight="true" outlineLevel="0" collapsed="false">
      <c r="A78" s="24" t="s">
        <v>12</v>
      </c>
      <c r="B78" s="14" t="s">
        <v>646</v>
      </c>
      <c r="C78" s="15" t="s">
        <v>690</v>
      </c>
      <c r="D78" s="15" t="s">
        <v>691</v>
      </c>
      <c r="E78" s="16" t="s">
        <v>692</v>
      </c>
      <c r="F78" s="14" t="s">
        <v>650</v>
      </c>
      <c r="G78" s="14" t="s">
        <v>693</v>
      </c>
      <c r="H78" s="15"/>
      <c r="I78" s="15" t="s">
        <v>694</v>
      </c>
      <c r="J78" s="15" t="s">
        <v>695</v>
      </c>
      <c r="K78" s="15" t="s">
        <v>67</v>
      </c>
      <c r="L78" s="17" t="n">
        <v>77</v>
      </c>
      <c r="M78" s="18" t="n">
        <v>3960000</v>
      </c>
      <c r="N78" s="19" t="n">
        <v>1992</v>
      </c>
      <c r="O78" s="15"/>
      <c r="P78" s="20" t="s">
        <v>696</v>
      </c>
      <c r="Q78" s="15"/>
      <c r="R78" s="21" t="s">
        <v>71</v>
      </c>
      <c r="S78" s="22"/>
      <c r="T78" s="23"/>
      <c r="U78" s="14" t="s">
        <v>657</v>
      </c>
      <c r="V78" s="14" t="n">
        <v>345994045</v>
      </c>
    </row>
    <row r="79" customFormat="false" ht="39.75" hidden="false" customHeight="true" outlineLevel="0" collapsed="false">
      <c r="A79" s="24" t="s">
        <v>12</v>
      </c>
      <c r="B79" s="14" t="s">
        <v>646</v>
      </c>
      <c r="C79" s="15" t="s">
        <v>697</v>
      </c>
      <c r="D79" s="15" t="s">
        <v>698</v>
      </c>
      <c r="E79" s="16" t="s">
        <v>699</v>
      </c>
      <c r="F79" s="14" t="s">
        <v>650</v>
      </c>
      <c r="G79" s="14" t="s">
        <v>700</v>
      </c>
      <c r="H79" s="15" t="s">
        <v>701</v>
      </c>
      <c r="I79" s="15" t="s">
        <v>702</v>
      </c>
      <c r="J79" s="15" t="s">
        <v>703</v>
      </c>
      <c r="K79" s="15" t="s">
        <v>67</v>
      </c>
      <c r="L79" s="17" t="n">
        <v>76</v>
      </c>
      <c r="M79" s="18" t="n">
        <v>23819000</v>
      </c>
      <c r="N79" s="19" t="n">
        <v>1996</v>
      </c>
      <c r="O79" s="15"/>
      <c r="P79" s="20" t="s">
        <v>704</v>
      </c>
      <c r="Q79" s="15"/>
      <c r="R79" s="21" t="s">
        <v>71</v>
      </c>
      <c r="S79" s="22"/>
      <c r="T79" s="23"/>
      <c r="U79" s="14" t="s">
        <v>657</v>
      </c>
      <c r="V79" s="14" t="n">
        <v>450765740</v>
      </c>
    </row>
    <row r="80" customFormat="false" ht="39.75" hidden="false" customHeight="true" outlineLevel="0" collapsed="false">
      <c r="A80" s="24" t="s">
        <v>12</v>
      </c>
      <c r="B80" s="14" t="s">
        <v>646</v>
      </c>
      <c r="C80" s="15" t="s">
        <v>705</v>
      </c>
      <c r="D80" s="15" t="s">
        <v>706</v>
      </c>
      <c r="E80" s="16" t="s">
        <v>707</v>
      </c>
      <c r="F80" s="14" t="s">
        <v>650</v>
      </c>
      <c r="G80" s="14" t="s">
        <v>708</v>
      </c>
      <c r="H80" s="15" t="s">
        <v>709</v>
      </c>
      <c r="I80" s="15" t="s">
        <v>710</v>
      </c>
      <c r="J80" s="15" t="s">
        <v>711</v>
      </c>
      <c r="K80" s="15" t="s">
        <v>67</v>
      </c>
      <c r="L80" s="17" t="n">
        <v>61</v>
      </c>
      <c r="M80" s="18" t="n">
        <v>4335000</v>
      </c>
      <c r="N80" s="19" t="n">
        <v>1996</v>
      </c>
      <c r="O80" s="15"/>
      <c r="P80" s="20" t="s">
        <v>712</v>
      </c>
      <c r="Q80" s="15" t="s">
        <v>713</v>
      </c>
      <c r="R80" s="21" t="s">
        <v>71</v>
      </c>
      <c r="S80" s="22"/>
      <c r="T80" s="23"/>
      <c r="U80" s="14" t="s">
        <v>657</v>
      </c>
      <c r="V80" s="14" t="n">
        <v>122601758</v>
      </c>
    </row>
    <row r="81" customFormat="false" ht="39.75" hidden="false" customHeight="true" outlineLevel="0" collapsed="false">
      <c r="A81" s="24" t="s">
        <v>12</v>
      </c>
      <c r="B81" s="14" t="s">
        <v>646</v>
      </c>
      <c r="C81" s="15" t="s">
        <v>714</v>
      </c>
      <c r="D81" s="15" t="s">
        <v>715</v>
      </c>
      <c r="E81" s="16" t="s">
        <v>716</v>
      </c>
      <c r="F81" s="14" t="s">
        <v>650</v>
      </c>
      <c r="G81" s="14" t="s">
        <v>717</v>
      </c>
      <c r="H81" s="15"/>
      <c r="I81" s="15" t="s">
        <v>718</v>
      </c>
      <c r="J81" s="15" t="s">
        <v>719</v>
      </c>
      <c r="K81" s="15" t="s">
        <v>67</v>
      </c>
      <c r="L81" s="17" t="n">
        <v>42</v>
      </c>
      <c r="M81" s="18" t="n">
        <v>52519000</v>
      </c>
      <c r="N81" s="19" t="n">
        <v>2003</v>
      </c>
      <c r="O81" s="15"/>
      <c r="P81" s="20" t="s">
        <v>720</v>
      </c>
      <c r="Q81" s="15" t="s">
        <v>721</v>
      </c>
      <c r="R81" s="21" t="s">
        <v>71</v>
      </c>
      <c r="S81" s="22"/>
      <c r="T81" s="23"/>
      <c r="U81" s="14" t="s">
        <v>657</v>
      </c>
      <c r="V81" s="14" t="n">
        <v>722847</v>
      </c>
    </row>
    <row r="82" customFormat="false" ht="39.75" hidden="false" customHeight="true" outlineLevel="0" collapsed="false">
      <c r="A82" s="24" t="s">
        <v>12</v>
      </c>
      <c r="B82" s="14" t="s">
        <v>646</v>
      </c>
      <c r="C82" s="15" t="s">
        <v>722</v>
      </c>
      <c r="D82" s="15" t="s">
        <v>723</v>
      </c>
      <c r="E82" s="16" t="s">
        <v>724</v>
      </c>
      <c r="F82" s="14" t="s">
        <v>650</v>
      </c>
      <c r="G82" s="14" t="s">
        <v>725</v>
      </c>
      <c r="H82" s="15"/>
      <c r="I82" s="15" t="s">
        <v>726</v>
      </c>
      <c r="J82" s="15" t="s">
        <v>727</v>
      </c>
      <c r="K82" s="15" t="s">
        <v>67</v>
      </c>
      <c r="L82" s="17" t="n">
        <v>41</v>
      </c>
      <c r="M82" s="18" t="n">
        <v>8845000</v>
      </c>
      <c r="N82" s="19" t="n">
        <v>1850</v>
      </c>
      <c r="O82" s="15"/>
      <c r="P82" s="20" t="s">
        <v>728</v>
      </c>
      <c r="Q82" s="15" t="s">
        <v>729</v>
      </c>
      <c r="R82" s="21" t="s">
        <v>71</v>
      </c>
      <c r="S82" s="22"/>
      <c r="T82" s="23"/>
      <c r="U82" s="14" t="s">
        <v>657</v>
      </c>
      <c r="V82" s="14" t="n">
        <v>87149342</v>
      </c>
    </row>
    <row r="83" customFormat="false" ht="39.75" hidden="false" customHeight="true" outlineLevel="0" collapsed="false">
      <c r="A83" s="24" t="s">
        <v>12</v>
      </c>
      <c r="B83" s="14" t="s">
        <v>646</v>
      </c>
      <c r="C83" s="15" t="s">
        <v>730</v>
      </c>
      <c r="D83" s="15" t="s">
        <v>731</v>
      </c>
      <c r="E83" s="16" t="s">
        <v>732</v>
      </c>
      <c r="F83" s="14" t="s">
        <v>650</v>
      </c>
      <c r="G83" s="14" t="s">
        <v>733</v>
      </c>
      <c r="H83" s="15" t="s">
        <v>734</v>
      </c>
      <c r="I83" s="15" t="s">
        <v>735</v>
      </c>
      <c r="J83" s="15" t="s">
        <v>736</v>
      </c>
      <c r="K83" s="15" t="s">
        <v>67</v>
      </c>
      <c r="L83" s="17" t="n">
        <v>31</v>
      </c>
      <c r="M83" s="18" t="n">
        <v>18925000</v>
      </c>
      <c r="N83" s="19" t="n">
        <v>1938</v>
      </c>
      <c r="O83" s="15"/>
      <c r="P83" s="20" t="s">
        <v>737</v>
      </c>
      <c r="Q83" s="15"/>
      <c r="R83" s="21" t="s">
        <v>71</v>
      </c>
      <c r="S83" s="22"/>
      <c r="T83" s="23"/>
      <c r="U83" s="14" t="s">
        <v>657</v>
      </c>
      <c r="V83" s="14" t="n">
        <v>64980067</v>
      </c>
    </row>
    <row r="84" customFormat="false" ht="39.75" hidden="false" customHeight="true" outlineLevel="0" collapsed="false">
      <c r="A84" s="24" t="s">
        <v>12</v>
      </c>
      <c r="B84" s="14" t="s">
        <v>646</v>
      </c>
      <c r="C84" s="15" t="s">
        <v>738</v>
      </c>
      <c r="D84" s="15" t="s">
        <v>739</v>
      </c>
      <c r="E84" s="16" t="s">
        <v>740</v>
      </c>
      <c r="F84" s="14" t="s">
        <v>650</v>
      </c>
      <c r="G84" s="14" t="s">
        <v>741</v>
      </c>
      <c r="H84" s="15"/>
      <c r="I84" s="15"/>
      <c r="J84" s="15" t="s">
        <v>742</v>
      </c>
      <c r="K84" s="15" t="s">
        <v>67</v>
      </c>
      <c r="L84" s="17" t="n">
        <v>22</v>
      </c>
      <c r="M84" s="18" t="n">
        <v>3532000</v>
      </c>
      <c r="N84" s="19" t="n">
        <v>1984</v>
      </c>
      <c r="O84" s="15" t="s">
        <v>743</v>
      </c>
      <c r="P84" s="20" t="s">
        <v>744</v>
      </c>
      <c r="Q84" s="15"/>
      <c r="R84" s="21" t="s">
        <v>71</v>
      </c>
      <c r="S84" s="22"/>
      <c r="T84" s="23"/>
      <c r="U84" s="14" t="s">
        <v>657</v>
      </c>
      <c r="V84" s="14" t="n">
        <v>14041218</v>
      </c>
    </row>
    <row r="85" customFormat="false" ht="39.75" hidden="false" customHeight="true" outlineLevel="0" collapsed="false">
      <c r="A85" s="25" t="s">
        <v>14</v>
      </c>
      <c r="B85" s="14" t="s">
        <v>646</v>
      </c>
      <c r="C85" s="15" t="s">
        <v>745</v>
      </c>
      <c r="D85" s="15" t="s">
        <v>746</v>
      </c>
      <c r="E85" s="16" t="s">
        <v>747</v>
      </c>
      <c r="F85" s="14" t="s">
        <v>650</v>
      </c>
      <c r="G85" s="14" t="s">
        <v>748</v>
      </c>
      <c r="H85" s="15"/>
      <c r="I85" s="15"/>
      <c r="J85" s="15" t="s">
        <v>749</v>
      </c>
      <c r="K85" s="15" t="s">
        <v>67</v>
      </c>
      <c r="L85" s="17" t="n">
        <v>346</v>
      </c>
      <c r="M85" s="18" t="n">
        <v>239291000</v>
      </c>
      <c r="N85" s="19" t="n">
        <v>1978</v>
      </c>
      <c r="O85" s="15" t="s">
        <v>750</v>
      </c>
      <c r="P85" s="20" t="s">
        <v>751</v>
      </c>
      <c r="Q85" s="15" t="s">
        <v>752</v>
      </c>
      <c r="R85" s="21" t="s">
        <v>71</v>
      </c>
      <c r="S85" s="22"/>
      <c r="T85" s="23"/>
      <c r="U85" s="14" t="s">
        <v>657</v>
      </c>
      <c r="V85" s="14" t="n">
        <v>38800308</v>
      </c>
    </row>
    <row r="86" customFormat="false" ht="39.75" hidden="false" customHeight="true" outlineLevel="0" collapsed="false">
      <c r="A86" s="25" t="s">
        <v>14</v>
      </c>
      <c r="B86" s="14" t="s">
        <v>646</v>
      </c>
      <c r="C86" s="15" t="s">
        <v>753</v>
      </c>
      <c r="D86" s="15" t="s">
        <v>754</v>
      </c>
      <c r="E86" s="16" t="s">
        <v>755</v>
      </c>
      <c r="F86" s="14" t="s">
        <v>650</v>
      </c>
      <c r="G86" s="14" t="s">
        <v>756</v>
      </c>
      <c r="H86" s="15"/>
      <c r="I86" s="15"/>
      <c r="J86" s="15" t="s">
        <v>757</v>
      </c>
      <c r="K86" s="15" t="s">
        <v>67</v>
      </c>
      <c r="L86" s="17" t="n">
        <v>165</v>
      </c>
      <c r="M86" s="18" t="n">
        <v>16673000</v>
      </c>
      <c r="N86" s="19" t="n">
        <v>2001</v>
      </c>
      <c r="O86" s="15" t="s">
        <v>758</v>
      </c>
      <c r="P86" s="20" t="s">
        <v>759</v>
      </c>
      <c r="Q86" s="15" t="s">
        <v>760</v>
      </c>
      <c r="R86" s="21" t="s">
        <v>71</v>
      </c>
      <c r="S86" s="22"/>
      <c r="T86" s="23"/>
      <c r="U86" s="14" t="s">
        <v>657</v>
      </c>
      <c r="V86" s="14" t="n">
        <v>31983788</v>
      </c>
    </row>
    <row r="87" customFormat="false" ht="39.75" hidden="false" customHeight="true" outlineLevel="0" collapsed="false">
      <c r="A87" s="25" t="s">
        <v>14</v>
      </c>
      <c r="B87" s="14" t="s">
        <v>646</v>
      </c>
      <c r="C87" s="15" t="s">
        <v>761</v>
      </c>
      <c r="D87" s="15" t="s">
        <v>762</v>
      </c>
      <c r="E87" s="16" t="s">
        <v>763</v>
      </c>
      <c r="F87" s="14" t="s">
        <v>650</v>
      </c>
      <c r="G87" s="14" t="s">
        <v>764</v>
      </c>
      <c r="H87" s="15"/>
      <c r="I87" s="15" t="s">
        <v>765</v>
      </c>
      <c r="J87" s="15" t="s">
        <v>766</v>
      </c>
      <c r="K87" s="15" t="s">
        <v>67</v>
      </c>
      <c r="L87" s="17" t="n">
        <v>42</v>
      </c>
      <c r="M87" s="18" t="n">
        <v>10558000</v>
      </c>
      <c r="N87" s="19" t="n">
        <v>1967</v>
      </c>
      <c r="O87" s="15"/>
      <c r="P87" s="20" t="s">
        <v>767</v>
      </c>
      <c r="Q87" s="15"/>
      <c r="R87" s="21" t="s">
        <v>71</v>
      </c>
      <c r="S87" s="22"/>
      <c r="T87" s="23"/>
      <c r="U87" s="14" t="s">
        <v>657</v>
      </c>
      <c r="V87" s="14" t="n">
        <v>354855362</v>
      </c>
    </row>
    <row r="88" customFormat="false" ht="39.75" hidden="false" customHeight="true" outlineLevel="0" collapsed="false">
      <c r="A88" s="25" t="s">
        <v>14</v>
      </c>
      <c r="B88" s="14" t="s">
        <v>646</v>
      </c>
      <c r="C88" s="15" t="s">
        <v>768</v>
      </c>
      <c r="D88" s="15" t="s">
        <v>769</v>
      </c>
      <c r="E88" s="16" t="s">
        <v>770</v>
      </c>
      <c r="F88" s="14" t="s">
        <v>650</v>
      </c>
      <c r="G88" s="14" t="s">
        <v>771</v>
      </c>
      <c r="H88" s="15"/>
      <c r="I88" s="15" t="s">
        <v>772</v>
      </c>
      <c r="J88" s="15" t="s">
        <v>773</v>
      </c>
      <c r="K88" s="15" t="s">
        <v>67</v>
      </c>
      <c r="L88" s="17" t="n">
        <v>38</v>
      </c>
      <c r="M88" s="18" t="n">
        <v>16640000</v>
      </c>
      <c r="N88" s="19" t="n">
        <v>2007</v>
      </c>
      <c r="O88" s="15"/>
      <c r="P88" s="20" t="s">
        <v>774</v>
      </c>
      <c r="Q88" s="15"/>
      <c r="R88" s="21" t="s">
        <v>71</v>
      </c>
      <c r="S88" s="22"/>
      <c r="T88" s="23"/>
      <c r="U88" s="14" t="s">
        <v>657</v>
      </c>
      <c r="V88" s="14" t="n">
        <v>357482820</v>
      </c>
    </row>
    <row r="89" customFormat="false" ht="39.75" hidden="false" customHeight="true" outlineLevel="0" collapsed="false">
      <c r="A89" s="25" t="s">
        <v>14</v>
      </c>
      <c r="B89" s="14" t="s">
        <v>646</v>
      </c>
      <c r="C89" s="15" t="s">
        <v>775</v>
      </c>
      <c r="D89" s="15" t="s">
        <v>776</v>
      </c>
      <c r="E89" s="16" t="s">
        <v>777</v>
      </c>
      <c r="F89" s="14" t="s">
        <v>650</v>
      </c>
      <c r="G89" s="14" t="s">
        <v>778</v>
      </c>
      <c r="H89" s="15"/>
      <c r="I89" s="15" t="s">
        <v>779</v>
      </c>
      <c r="J89" s="15" t="s">
        <v>780</v>
      </c>
      <c r="K89" s="15" t="s">
        <v>67</v>
      </c>
      <c r="L89" s="17" t="n">
        <v>25</v>
      </c>
      <c r="M89" s="18" t="n">
        <v>4422000</v>
      </c>
      <c r="N89" s="19" t="n">
        <v>2000</v>
      </c>
      <c r="O89" s="15"/>
      <c r="P89" s="20" t="s">
        <v>781</v>
      </c>
      <c r="Q89" s="15" t="s">
        <v>782</v>
      </c>
      <c r="R89" s="21" t="s">
        <v>71</v>
      </c>
      <c r="S89" s="22"/>
      <c r="T89" s="23"/>
      <c r="U89" s="14" t="s">
        <v>657</v>
      </c>
      <c r="V89" s="14" t="n">
        <v>12354801</v>
      </c>
    </row>
    <row r="90" customFormat="false" ht="39.75" hidden="false" customHeight="true" outlineLevel="0" collapsed="false">
      <c r="A90" s="25" t="s">
        <v>14</v>
      </c>
      <c r="B90" s="14" t="s">
        <v>646</v>
      </c>
      <c r="C90" s="15" t="s">
        <v>783</v>
      </c>
      <c r="D90" s="15" t="s">
        <v>784</v>
      </c>
      <c r="E90" s="16" t="s">
        <v>785</v>
      </c>
      <c r="F90" s="14" t="s">
        <v>650</v>
      </c>
      <c r="G90" s="14" t="s">
        <v>786</v>
      </c>
      <c r="H90" s="15"/>
      <c r="I90" s="15" t="s">
        <v>787</v>
      </c>
      <c r="J90" s="15" t="s">
        <v>788</v>
      </c>
      <c r="K90" s="15" t="s">
        <v>67</v>
      </c>
      <c r="L90" s="17" t="n">
        <v>25</v>
      </c>
      <c r="M90" s="18" t="n">
        <v>4932000</v>
      </c>
      <c r="N90" s="19" t="n">
        <v>2000</v>
      </c>
      <c r="O90" s="15"/>
      <c r="P90" s="20" t="s">
        <v>789</v>
      </c>
      <c r="Q90" s="15" t="s">
        <v>790</v>
      </c>
      <c r="R90" s="21" t="s">
        <v>71</v>
      </c>
      <c r="S90" s="22"/>
      <c r="T90" s="23"/>
      <c r="U90" s="14" t="s">
        <v>657</v>
      </c>
      <c r="V90" s="14" t="n">
        <v>379382675</v>
      </c>
    </row>
    <row r="91" customFormat="false" ht="39.75" hidden="false" customHeight="true" outlineLevel="0" collapsed="false">
      <c r="A91" s="25" t="s">
        <v>14</v>
      </c>
      <c r="B91" s="14" t="s">
        <v>646</v>
      </c>
      <c r="C91" s="15" t="s">
        <v>791</v>
      </c>
      <c r="D91" s="15" t="s">
        <v>792</v>
      </c>
      <c r="E91" s="16" t="s">
        <v>793</v>
      </c>
      <c r="F91" s="14" t="s">
        <v>650</v>
      </c>
      <c r="G91" s="14" t="s">
        <v>794</v>
      </c>
      <c r="H91" s="15"/>
      <c r="I91" s="15" t="s">
        <v>795</v>
      </c>
      <c r="J91" s="15" t="s">
        <v>796</v>
      </c>
      <c r="K91" s="15" t="s">
        <v>67</v>
      </c>
      <c r="L91" s="17" t="n">
        <v>21</v>
      </c>
      <c r="M91" s="18" t="n">
        <v>4064000</v>
      </c>
      <c r="N91" s="19" t="n">
        <v>2010</v>
      </c>
      <c r="O91" s="15"/>
      <c r="P91" s="20" t="s">
        <v>797</v>
      </c>
      <c r="Q91" s="15"/>
      <c r="R91" s="21" t="s">
        <v>71</v>
      </c>
      <c r="S91" s="22"/>
      <c r="T91" s="23"/>
      <c r="U91" s="14" t="s">
        <v>657</v>
      </c>
      <c r="V91" s="14" t="n">
        <v>355384049</v>
      </c>
    </row>
    <row r="92" customFormat="false" ht="39.75" hidden="false" customHeight="true" outlineLevel="0" collapsed="false">
      <c r="A92" s="13" t="s">
        <v>10</v>
      </c>
      <c r="B92" s="14" t="s">
        <v>798</v>
      </c>
      <c r="C92" s="15" t="s">
        <v>799</v>
      </c>
      <c r="D92" s="15" t="s">
        <v>800</v>
      </c>
      <c r="E92" s="16" t="s">
        <v>801</v>
      </c>
      <c r="F92" s="14" t="s">
        <v>802</v>
      </c>
      <c r="G92" s="14" t="s">
        <v>803</v>
      </c>
      <c r="H92" s="15"/>
      <c r="I92" s="15" t="s">
        <v>804</v>
      </c>
      <c r="J92" s="15" t="s">
        <v>805</v>
      </c>
      <c r="K92" s="15" t="s">
        <v>67</v>
      </c>
      <c r="L92" s="17" t="n">
        <v>125</v>
      </c>
      <c r="M92" s="18" t="n">
        <v>79566000</v>
      </c>
      <c r="N92" s="19" t="n">
        <v>1987</v>
      </c>
      <c r="O92" s="15"/>
      <c r="P92" s="20" t="s">
        <v>806</v>
      </c>
      <c r="Q92" s="15" t="s">
        <v>807</v>
      </c>
      <c r="R92" s="21" t="s">
        <v>71</v>
      </c>
      <c r="S92" s="22"/>
      <c r="T92" s="23"/>
      <c r="U92" s="14" t="s">
        <v>808</v>
      </c>
      <c r="V92" s="14" t="n">
        <v>184991889</v>
      </c>
    </row>
    <row r="93" customFormat="false" ht="39.75" hidden="false" customHeight="true" outlineLevel="0" collapsed="false">
      <c r="A93" s="13" t="s">
        <v>10</v>
      </c>
      <c r="B93" s="14" t="s">
        <v>798</v>
      </c>
      <c r="C93" s="15" t="s">
        <v>809</v>
      </c>
      <c r="D93" s="15" t="s">
        <v>810</v>
      </c>
      <c r="E93" s="16" t="s">
        <v>811</v>
      </c>
      <c r="F93" s="14" t="s">
        <v>812</v>
      </c>
      <c r="G93" s="14" t="s">
        <v>813</v>
      </c>
      <c r="H93" s="15"/>
      <c r="I93" s="15" t="s">
        <v>814</v>
      </c>
      <c r="J93" s="15" t="s">
        <v>815</v>
      </c>
      <c r="K93" s="15" t="s">
        <v>67</v>
      </c>
      <c r="L93" s="17" t="n">
        <v>98</v>
      </c>
      <c r="M93" s="18" t="n">
        <v>27457000</v>
      </c>
      <c r="N93" s="19" t="n">
        <v>1958</v>
      </c>
      <c r="O93" s="15"/>
      <c r="P93" s="20" t="s">
        <v>816</v>
      </c>
      <c r="Q93" s="15" t="s">
        <v>817</v>
      </c>
      <c r="R93" s="21" t="s">
        <v>71</v>
      </c>
      <c r="S93" s="22"/>
      <c r="T93" s="23"/>
      <c r="U93" s="14" t="s">
        <v>818</v>
      </c>
      <c r="V93" s="14" t="n">
        <v>20517658</v>
      </c>
    </row>
    <row r="94" customFormat="false" ht="39.75" hidden="false" customHeight="true" outlineLevel="0" collapsed="false">
      <c r="A94" s="24" t="s">
        <v>12</v>
      </c>
      <c r="B94" s="14" t="s">
        <v>798</v>
      </c>
      <c r="C94" s="15" t="s">
        <v>819</v>
      </c>
      <c r="D94" s="15" t="s">
        <v>318</v>
      </c>
      <c r="E94" s="16" t="s">
        <v>820</v>
      </c>
      <c r="F94" s="14" t="s">
        <v>821</v>
      </c>
      <c r="G94" s="14" t="s">
        <v>822</v>
      </c>
      <c r="H94" s="15"/>
      <c r="I94" s="15"/>
      <c r="J94" s="15" t="s">
        <v>823</v>
      </c>
      <c r="K94" s="15" t="s">
        <v>67</v>
      </c>
      <c r="L94" s="17" t="n">
        <v>153</v>
      </c>
      <c r="M94" s="18" t="n">
        <v>30140000</v>
      </c>
      <c r="N94" s="19" t="n">
        <v>2014</v>
      </c>
      <c r="O94" s="15"/>
      <c r="P94" s="20" t="s">
        <v>824</v>
      </c>
      <c r="Q94" s="15"/>
      <c r="R94" s="21" t="s">
        <v>71</v>
      </c>
      <c r="S94" s="22"/>
      <c r="T94" s="23"/>
      <c r="U94" s="14" t="s">
        <v>825</v>
      </c>
      <c r="V94" s="14" t="n">
        <v>481093210</v>
      </c>
    </row>
    <row r="95" customFormat="false" ht="39.75" hidden="false" customHeight="true" outlineLevel="0" collapsed="false">
      <c r="A95" s="24" t="s">
        <v>12</v>
      </c>
      <c r="B95" s="14" t="s">
        <v>798</v>
      </c>
      <c r="C95" s="15" t="s">
        <v>826</v>
      </c>
      <c r="D95" s="15" t="s">
        <v>827</v>
      </c>
      <c r="E95" s="16" t="s">
        <v>828</v>
      </c>
      <c r="F95" s="14" t="s">
        <v>821</v>
      </c>
      <c r="G95" s="14" t="s">
        <v>829</v>
      </c>
      <c r="H95" s="15"/>
      <c r="I95" s="15" t="s">
        <v>830</v>
      </c>
      <c r="J95" s="15" t="s">
        <v>831</v>
      </c>
      <c r="K95" s="15" t="s">
        <v>67</v>
      </c>
      <c r="L95" s="17" t="n">
        <v>141</v>
      </c>
      <c r="M95" s="18" t="n">
        <v>11685000</v>
      </c>
      <c r="N95" s="19"/>
      <c r="O95" s="15"/>
      <c r="P95" s="20" t="s">
        <v>832</v>
      </c>
      <c r="Q95" s="15" t="s">
        <v>833</v>
      </c>
      <c r="R95" s="21" t="s">
        <v>71</v>
      </c>
      <c r="S95" s="22"/>
      <c r="T95" s="23"/>
      <c r="U95" s="14" t="s">
        <v>825</v>
      </c>
      <c r="V95" s="14" t="n">
        <v>371652590</v>
      </c>
    </row>
    <row r="96" customFormat="false" ht="39.75" hidden="false" customHeight="true" outlineLevel="0" collapsed="false">
      <c r="A96" s="24" t="s">
        <v>12</v>
      </c>
      <c r="B96" s="14" t="s">
        <v>798</v>
      </c>
      <c r="C96" s="15" t="s">
        <v>834</v>
      </c>
      <c r="D96" s="15" t="s">
        <v>835</v>
      </c>
      <c r="E96" s="16" t="s">
        <v>836</v>
      </c>
      <c r="F96" s="14" t="s">
        <v>812</v>
      </c>
      <c r="G96" s="14" t="s">
        <v>837</v>
      </c>
      <c r="H96" s="15"/>
      <c r="I96" s="15" t="s">
        <v>838</v>
      </c>
      <c r="J96" s="15" t="s">
        <v>839</v>
      </c>
      <c r="K96" s="15" t="s">
        <v>67</v>
      </c>
      <c r="L96" s="17" t="n">
        <v>108</v>
      </c>
      <c r="M96" s="18" t="n">
        <v>22537000</v>
      </c>
      <c r="N96" s="19" t="n">
        <v>1972</v>
      </c>
      <c r="O96" s="15"/>
      <c r="P96" s="20" t="s">
        <v>840</v>
      </c>
      <c r="Q96" s="15"/>
      <c r="R96" s="21" t="s">
        <v>71</v>
      </c>
      <c r="S96" s="22"/>
      <c r="T96" s="23"/>
      <c r="U96" s="14" t="s">
        <v>818</v>
      </c>
      <c r="V96" s="14" t="n">
        <v>55133071</v>
      </c>
    </row>
    <row r="97" customFormat="false" ht="39.75" hidden="false" customHeight="true" outlineLevel="0" collapsed="false">
      <c r="A97" s="24" t="s">
        <v>12</v>
      </c>
      <c r="B97" s="14" t="s">
        <v>798</v>
      </c>
      <c r="C97" s="15" t="s">
        <v>841</v>
      </c>
      <c r="D97" s="15" t="s">
        <v>842</v>
      </c>
      <c r="E97" s="16" t="s">
        <v>843</v>
      </c>
      <c r="F97" s="14" t="s">
        <v>802</v>
      </c>
      <c r="G97" s="14" t="s">
        <v>844</v>
      </c>
      <c r="H97" s="15"/>
      <c r="I97" s="15" t="s">
        <v>845</v>
      </c>
      <c r="J97" s="15" t="s">
        <v>846</v>
      </c>
      <c r="K97" s="15" t="s">
        <v>67</v>
      </c>
      <c r="L97" s="17" t="n">
        <v>100</v>
      </c>
      <c r="M97" s="18" t="n">
        <v>17480000</v>
      </c>
      <c r="N97" s="19" t="n">
        <v>1894</v>
      </c>
      <c r="O97" s="15"/>
      <c r="P97" s="20" t="s">
        <v>847</v>
      </c>
      <c r="Q97" s="15" t="s">
        <v>848</v>
      </c>
      <c r="R97" s="21" t="s">
        <v>71</v>
      </c>
      <c r="S97" s="22"/>
      <c r="T97" s="23"/>
      <c r="U97" s="14" t="s">
        <v>808</v>
      </c>
      <c r="V97" s="14" t="n">
        <v>128385304</v>
      </c>
    </row>
    <row r="98" customFormat="false" ht="39.75" hidden="false" customHeight="true" outlineLevel="0" collapsed="false">
      <c r="A98" s="24" t="s">
        <v>12</v>
      </c>
      <c r="B98" s="14" t="s">
        <v>798</v>
      </c>
      <c r="C98" s="15" t="s">
        <v>849</v>
      </c>
      <c r="D98" s="15" t="s">
        <v>850</v>
      </c>
      <c r="E98" s="16" t="s">
        <v>851</v>
      </c>
      <c r="F98" s="14" t="s">
        <v>821</v>
      </c>
      <c r="G98" s="14" t="s">
        <v>852</v>
      </c>
      <c r="H98" s="15"/>
      <c r="I98" s="15" t="s">
        <v>853</v>
      </c>
      <c r="J98" s="15" t="s">
        <v>854</v>
      </c>
      <c r="K98" s="15" t="s">
        <v>67</v>
      </c>
      <c r="L98" s="17" t="n">
        <v>91</v>
      </c>
      <c r="M98" s="18" t="n">
        <v>16655000</v>
      </c>
      <c r="N98" s="19" t="n">
        <v>1990</v>
      </c>
      <c r="O98" s="15"/>
      <c r="P98" s="20" t="s">
        <v>855</v>
      </c>
      <c r="Q98" s="15" t="s">
        <v>856</v>
      </c>
      <c r="R98" s="21" t="s">
        <v>71</v>
      </c>
      <c r="S98" s="22"/>
      <c r="T98" s="23"/>
      <c r="U98" s="14" t="s">
        <v>825</v>
      </c>
      <c r="V98" s="14"/>
    </row>
    <row r="99" customFormat="false" ht="39.75" hidden="false" customHeight="true" outlineLevel="0" collapsed="false">
      <c r="A99" s="24" t="s">
        <v>12</v>
      </c>
      <c r="B99" s="14" t="s">
        <v>798</v>
      </c>
      <c r="C99" s="15" t="s">
        <v>857</v>
      </c>
      <c r="D99" s="15" t="s">
        <v>858</v>
      </c>
      <c r="E99" s="16" t="s">
        <v>859</v>
      </c>
      <c r="F99" s="14" t="s">
        <v>812</v>
      </c>
      <c r="G99" s="14" t="s">
        <v>860</v>
      </c>
      <c r="H99" s="15"/>
      <c r="I99" s="15"/>
      <c r="J99" s="15" t="s">
        <v>861</v>
      </c>
      <c r="K99" s="15" t="s">
        <v>67</v>
      </c>
      <c r="L99" s="17" t="n">
        <v>70</v>
      </c>
      <c r="M99" s="18" t="n">
        <v>25018000</v>
      </c>
      <c r="N99" s="19" t="n">
        <v>1918</v>
      </c>
      <c r="O99" s="15"/>
      <c r="P99" s="20" t="s">
        <v>862</v>
      </c>
      <c r="Q99" s="15"/>
      <c r="R99" s="21" t="s">
        <v>71</v>
      </c>
      <c r="S99" s="22"/>
      <c r="T99" s="23"/>
      <c r="U99" s="14" t="s">
        <v>818</v>
      </c>
      <c r="V99" s="14" t="n">
        <v>74531004</v>
      </c>
    </row>
    <row r="100" customFormat="false" ht="39.75" hidden="false" customHeight="true" outlineLevel="0" collapsed="false">
      <c r="A100" s="24" t="s">
        <v>12</v>
      </c>
      <c r="B100" s="14" t="s">
        <v>798</v>
      </c>
      <c r="C100" s="15" t="s">
        <v>863</v>
      </c>
      <c r="D100" s="15" t="s">
        <v>864</v>
      </c>
      <c r="E100" s="16" t="s">
        <v>865</v>
      </c>
      <c r="F100" s="14" t="s">
        <v>821</v>
      </c>
      <c r="G100" s="14" t="s">
        <v>866</v>
      </c>
      <c r="H100" s="15"/>
      <c r="I100" s="15" t="s">
        <v>867</v>
      </c>
      <c r="J100" s="15" t="s">
        <v>868</v>
      </c>
      <c r="K100" s="15" t="s">
        <v>67</v>
      </c>
      <c r="L100" s="17" t="n">
        <v>50</v>
      </c>
      <c r="M100" s="18" t="n">
        <v>6726000</v>
      </c>
      <c r="N100" s="19" t="n">
        <v>1956</v>
      </c>
      <c r="O100" s="15"/>
      <c r="P100" s="20" t="s">
        <v>869</v>
      </c>
      <c r="Q100" s="15"/>
      <c r="R100" s="21" t="s">
        <v>71</v>
      </c>
      <c r="S100" s="22"/>
      <c r="T100" s="23"/>
      <c r="U100" s="14" t="s">
        <v>825</v>
      </c>
      <c r="V100" s="14" t="n">
        <v>353908367</v>
      </c>
    </row>
    <row r="101" customFormat="false" ht="39.75" hidden="false" customHeight="true" outlineLevel="0" collapsed="false">
      <c r="A101" s="24" t="s">
        <v>12</v>
      </c>
      <c r="B101" s="14" t="s">
        <v>798</v>
      </c>
      <c r="C101" s="15" t="s">
        <v>870</v>
      </c>
      <c r="D101" s="15" t="s">
        <v>871</v>
      </c>
      <c r="E101" s="16" t="s">
        <v>872</v>
      </c>
      <c r="F101" s="14" t="s">
        <v>802</v>
      </c>
      <c r="G101" s="14" t="s">
        <v>873</v>
      </c>
      <c r="H101" s="15"/>
      <c r="I101" s="15" t="s">
        <v>874</v>
      </c>
      <c r="J101" s="15" t="s">
        <v>875</v>
      </c>
      <c r="K101" s="15" t="s">
        <v>67</v>
      </c>
      <c r="L101" s="17" t="n">
        <v>30</v>
      </c>
      <c r="M101" s="18" t="n">
        <v>8569000</v>
      </c>
      <c r="N101" s="19" t="n">
        <v>1951</v>
      </c>
      <c r="O101" s="15"/>
      <c r="P101" s="20" t="s">
        <v>876</v>
      </c>
      <c r="Q101" s="15"/>
      <c r="R101" s="21" t="s">
        <v>71</v>
      </c>
      <c r="S101" s="22"/>
      <c r="T101" s="23"/>
      <c r="U101" s="14" t="s">
        <v>808</v>
      </c>
      <c r="V101" s="14" t="n">
        <v>36425109</v>
      </c>
    </row>
    <row r="102" customFormat="false" ht="39.75" hidden="false" customHeight="true" outlineLevel="0" collapsed="false">
      <c r="A102" s="24" t="s">
        <v>12</v>
      </c>
      <c r="B102" s="14" t="s">
        <v>798</v>
      </c>
      <c r="C102" s="15" t="s">
        <v>877</v>
      </c>
      <c r="D102" s="15" t="s">
        <v>878</v>
      </c>
      <c r="E102" s="16" t="s">
        <v>879</v>
      </c>
      <c r="F102" s="14" t="s">
        <v>821</v>
      </c>
      <c r="G102" s="14" t="s">
        <v>880</v>
      </c>
      <c r="H102" s="15"/>
      <c r="I102" s="15" t="s">
        <v>881</v>
      </c>
      <c r="J102" s="15" t="s">
        <v>882</v>
      </c>
      <c r="K102" s="15" t="s">
        <v>67</v>
      </c>
      <c r="L102" s="17" t="n">
        <v>23</v>
      </c>
      <c r="M102" s="18" t="n">
        <v>4509000</v>
      </c>
      <c r="N102" s="19" t="n">
        <v>1973</v>
      </c>
      <c r="O102" s="15"/>
      <c r="P102" s="20" t="s">
        <v>883</v>
      </c>
      <c r="Q102" s="15" t="s">
        <v>884</v>
      </c>
      <c r="R102" s="21" t="s">
        <v>71</v>
      </c>
      <c r="S102" s="22"/>
      <c r="T102" s="23"/>
      <c r="U102" s="14" t="s">
        <v>825</v>
      </c>
      <c r="V102" s="14" t="n">
        <v>85656175</v>
      </c>
    </row>
    <row r="103" customFormat="false" ht="39.75" hidden="false" customHeight="true" outlineLevel="0" collapsed="false">
      <c r="A103" s="25" t="s">
        <v>14</v>
      </c>
      <c r="B103" s="14" t="s">
        <v>798</v>
      </c>
      <c r="C103" s="15" t="s">
        <v>885</v>
      </c>
      <c r="D103" s="15" t="s">
        <v>886</v>
      </c>
      <c r="E103" s="16" t="s">
        <v>887</v>
      </c>
      <c r="F103" s="14" t="s">
        <v>821</v>
      </c>
      <c r="G103" s="14" t="s">
        <v>888</v>
      </c>
      <c r="H103" s="15"/>
      <c r="I103" s="15" t="s">
        <v>889</v>
      </c>
      <c r="J103" s="15" t="s">
        <v>890</v>
      </c>
      <c r="K103" s="15" t="s">
        <v>67</v>
      </c>
      <c r="L103" s="17" t="n">
        <v>249</v>
      </c>
      <c r="M103" s="18" t="n">
        <v>13695000</v>
      </c>
      <c r="N103" s="19" t="n">
        <v>1998</v>
      </c>
      <c r="O103" s="15"/>
      <c r="P103" s="20" t="s">
        <v>891</v>
      </c>
      <c r="Q103" s="15" t="s">
        <v>892</v>
      </c>
      <c r="R103" s="21" t="s">
        <v>71</v>
      </c>
      <c r="S103" s="22"/>
      <c r="T103" s="23"/>
      <c r="U103" s="14" t="s">
        <v>825</v>
      </c>
      <c r="V103" s="14" t="n">
        <v>11289715</v>
      </c>
    </row>
    <row r="104" customFormat="false" ht="39.75" hidden="false" customHeight="true" outlineLevel="0" collapsed="false">
      <c r="A104" s="25" t="s">
        <v>14</v>
      </c>
      <c r="B104" s="14" t="s">
        <v>798</v>
      </c>
      <c r="C104" s="15" t="s">
        <v>893</v>
      </c>
      <c r="D104" s="15" t="s">
        <v>894</v>
      </c>
      <c r="E104" s="16" t="s">
        <v>895</v>
      </c>
      <c r="F104" s="14" t="s">
        <v>812</v>
      </c>
      <c r="G104" s="14" t="s">
        <v>896</v>
      </c>
      <c r="H104" s="15"/>
      <c r="I104" s="15" t="s">
        <v>897</v>
      </c>
      <c r="J104" s="15" t="s">
        <v>898</v>
      </c>
      <c r="K104" s="15" t="s">
        <v>67</v>
      </c>
      <c r="L104" s="17" t="n">
        <v>32</v>
      </c>
      <c r="M104" s="18" t="n">
        <v>3364000</v>
      </c>
      <c r="N104" s="19"/>
      <c r="O104" s="15"/>
      <c r="P104" s="20" t="s">
        <v>899</v>
      </c>
      <c r="Q104" s="15"/>
      <c r="R104" s="21" t="s">
        <v>71</v>
      </c>
      <c r="S104" s="22"/>
      <c r="T104" s="23"/>
      <c r="U104" s="14" t="s">
        <v>818</v>
      </c>
      <c r="V104" s="14" t="n">
        <v>346784932</v>
      </c>
    </row>
    <row r="105" customFormat="false" ht="39.75" hidden="false" customHeight="true" outlineLevel="0" collapsed="false">
      <c r="A105" s="13" t="s">
        <v>10</v>
      </c>
      <c r="B105" s="14" t="s">
        <v>900</v>
      </c>
      <c r="C105" s="15" t="s">
        <v>901</v>
      </c>
      <c r="D105" s="15" t="s">
        <v>902</v>
      </c>
      <c r="E105" s="16" t="s">
        <v>903</v>
      </c>
      <c r="F105" s="14" t="s">
        <v>904</v>
      </c>
      <c r="G105" s="14" t="s">
        <v>905</v>
      </c>
      <c r="H105" s="15" t="s">
        <v>906</v>
      </c>
      <c r="I105" s="15" t="s">
        <v>907</v>
      </c>
      <c r="J105" s="15" t="s">
        <v>908</v>
      </c>
      <c r="K105" s="15" t="s">
        <v>67</v>
      </c>
      <c r="L105" s="17" t="n">
        <v>221</v>
      </c>
      <c r="M105" s="18" t="n">
        <v>110640000</v>
      </c>
      <c r="N105" s="19" t="n">
        <v>1889</v>
      </c>
      <c r="O105" s="15" t="s">
        <v>909</v>
      </c>
      <c r="P105" s="20" t="s">
        <v>910</v>
      </c>
      <c r="Q105" s="15" t="s">
        <v>911</v>
      </c>
      <c r="R105" s="21" t="s">
        <v>71</v>
      </c>
      <c r="S105" s="22"/>
      <c r="T105" s="23"/>
      <c r="U105" s="14" t="s">
        <v>912</v>
      </c>
      <c r="V105" s="14" t="n">
        <v>35750110</v>
      </c>
    </row>
    <row r="106" customFormat="false" ht="39.75" hidden="false" customHeight="true" outlineLevel="0" collapsed="false">
      <c r="A106" s="13" t="s">
        <v>10</v>
      </c>
      <c r="B106" s="14" t="s">
        <v>900</v>
      </c>
      <c r="C106" s="15" t="s">
        <v>913</v>
      </c>
      <c r="D106" s="15" t="s">
        <v>914</v>
      </c>
      <c r="E106" s="16" t="s">
        <v>915</v>
      </c>
      <c r="F106" s="14" t="s">
        <v>904</v>
      </c>
      <c r="G106" s="14" t="s">
        <v>916</v>
      </c>
      <c r="H106" s="15" t="s">
        <v>917</v>
      </c>
      <c r="I106" s="15"/>
      <c r="J106" s="15" t="s">
        <v>918</v>
      </c>
      <c r="K106" s="15" t="s">
        <v>67</v>
      </c>
      <c r="L106" s="17" t="n">
        <v>131</v>
      </c>
      <c r="M106" s="18" t="n">
        <v>21726000</v>
      </c>
      <c r="N106" s="19" t="n">
        <v>1946</v>
      </c>
      <c r="O106" s="15"/>
      <c r="P106" s="20" t="s">
        <v>919</v>
      </c>
      <c r="Q106" s="15" t="s">
        <v>920</v>
      </c>
      <c r="R106" s="21" t="s">
        <v>71</v>
      </c>
      <c r="S106" s="22"/>
      <c r="T106" s="23"/>
      <c r="U106" s="14" t="s">
        <v>921</v>
      </c>
      <c r="V106" s="14" t="n">
        <v>12681815</v>
      </c>
    </row>
    <row r="107" customFormat="false" ht="39.75" hidden="false" customHeight="true" outlineLevel="0" collapsed="false">
      <c r="A107" s="13" t="s">
        <v>10</v>
      </c>
      <c r="B107" s="14" t="s">
        <v>900</v>
      </c>
      <c r="C107" s="15" t="s">
        <v>922</v>
      </c>
      <c r="D107" s="15" t="s">
        <v>923</v>
      </c>
      <c r="E107" s="16" t="s">
        <v>924</v>
      </c>
      <c r="F107" s="14" t="s">
        <v>904</v>
      </c>
      <c r="G107" s="14" t="s">
        <v>925</v>
      </c>
      <c r="H107" s="15" t="s">
        <v>926</v>
      </c>
      <c r="I107" s="15" t="s">
        <v>927</v>
      </c>
      <c r="J107" s="15" t="s">
        <v>908</v>
      </c>
      <c r="K107" s="15" t="s">
        <v>67</v>
      </c>
      <c r="L107" s="17" t="n">
        <v>112</v>
      </c>
      <c r="M107" s="18" t="n">
        <v>46466000</v>
      </c>
      <c r="N107" s="19" t="n">
        <v>1928</v>
      </c>
      <c r="O107" s="15" t="s">
        <v>928</v>
      </c>
      <c r="P107" s="20" t="s">
        <v>929</v>
      </c>
      <c r="Q107" s="15" t="s">
        <v>930</v>
      </c>
      <c r="R107" s="21" t="s">
        <v>71</v>
      </c>
      <c r="S107" s="22"/>
      <c r="T107" s="23"/>
      <c r="U107" s="14" t="s">
        <v>921</v>
      </c>
      <c r="V107" s="14" t="n">
        <v>375237867</v>
      </c>
    </row>
    <row r="108" customFormat="false" ht="39.75" hidden="false" customHeight="true" outlineLevel="0" collapsed="false">
      <c r="A108" s="13" t="s">
        <v>10</v>
      </c>
      <c r="B108" s="14" t="s">
        <v>900</v>
      </c>
      <c r="C108" s="15" t="s">
        <v>931</v>
      </c>
      <c r="D108" s="15" t="s">
        <v>932</v>
      </c>
      <c r="E108" s="16" t="s">
        <v>933</v>
      </c>
      <c r="F108" s="14" t="s">
        <v>934</v>
      </c>
      <c r="G108" s="14" t="s">
        <v>935</v>
      </c>
      <c r="H108" s="15" t="s">
        <v>936</v>
      </c>
      <c r="I108" s="15"/>
      <c r="J108" s="15" t="s">
        <v>937</v>
      </c>
      <c r="K108" s="15" t="s">
        <v>67</v>
      </c>
      <c r="L108" s="17" t="n">
        <v>98</v>
      </c>
      <c r="M108" s="18" t="n">
        <v>5053000</v>
      </c>
      <c r="N108" s="19" t="n">
        <v>1991</v>
      </c>
      <c r="O108" s="15"/>
      <c r="P108" s="20" t="s">
        <v>938</v>
      </c>
      <c r="Q108" s="15" t="s">
        <v>939</v>
      </c>
      <c r="R108" s="21" t="s">
        <v>71</v>
      </c>
      <c r="S108" s="22"/>
      <c r="T108" s="23"/>
      <c r="U108" s="14" t="s">
        <v>940</v>
      </c>
      <c r="V108" s="14" t="n">
        <v>54415058</v>
      </c>
    </row>
    <row r="109" customFormat="false" ht="39.75" hidden="false" customHeight="true" outlineLevel="0" collapsed="false">
      <c r="A109" s="13" t="s">
        <v>10</v>
      </c>
      <c r="B109" s="14" t="s">
        <v>900</v>
      </c>
      <c r="C109" s="15" t="s">
        <v>941</v>
      </c>
      <c r="D109" s="15" t="s">
        <v>942</v>
      </c>
      <c r="E109" s="16" t="s">
        <v>943</v>
      </c>
      <c r="F109" s="14" t="s">
        <v>944</v>
      </c>
      <c r="G109" s="14" t="s">
        <v>945</v>
      </c>
      <c r="H109" s="15" t="s">
        <v>946</v>
      </c>
      <c r="I109" s="15" t="s">
        <v>947</v>
      </c>
      <c r="J109" s="15" t="s">
        <v>918</v>
      </c>
      <c r="K109" s="15" t="s">
        <v>67</v>
      </c>
      <c r="L109" s="17" t="n">
        <v>94</v>
      </c>
      <c r="M109" s="18" t="n">
        <v>19426000</v>
      </c>
      <c r="N109" s="19" t="n">
        <v>1945</v>
      </c>
      <c r="O109" s="15"/>
      <c r="P109" s="20" t="s">
        <v>948</v>
      </c>
      <c r="Q109" s="15" t="s">
        <v>949</v>
      </c>
      <c r="R109" s="21" t="s">
        <v>71</v>
      </c>
      <c r="S109" s="22"/>
      <c r="T109" s="23"/>
      <c r="U109" s="14" t="s">
        <v>950</v>
      </c>
      <c r="V109" s="14" t="n">
        <v>46614387</v>
      </c>
    </row>
    <row r="110" customFormat="false" ht="39.75" hidden="false" customHeight="true" outlineLevel="0" collapsed="false">
      <c r="A110" s="13" t="s">
        <v>10</v>
      </c>
      <c r="B110" s="14" t="s">
        <v>900</v>
      </c>
      <c r="C110" s="15" t="s">
        <v>951</v>
      </c>
      <c r="D110" s="15" t="s">
        <v>952</v>
      </c>
      <c r="E110" s="16" t="s">
        <v>953</v>
      </c>
      <c r="F110" s="14" t="s">
        <v>944</v>
      </c>
      <c r="G110" s="14" t="s">
        <v>954</v>
      </c>
      <c r="H110" s="15" t="s">
        <v>955</v>
      </c>
      <c r="I110" s="15" t="s">
        <v>956</v>
      </c>
      <c r="J110" s="15" t="s">
        <v>908</v>
      </c>
      <c r="K110" s="15" t="s">
        <v>67</v>
      </c>
      <c r="L110" s="17" t="n">
        <v>92</v>
      </c>
      <c r="M110" s="18" t="n">
        <v>54947000</v>
      </c>
      <c r="N110" s="19" t="n">
        <v>1834</v>
      </c>
      <c r="O110" s="15"/>
      <c r="P110" s="20" t="s">
        <v>957</v>
      </c>
      <c r="Q110" s="15"/>
      <c r="R110" s="21" t="s">
        <v>71</v>
      </c>
      <c r="S110" s="22"/>
      <c r="T110" s="23"/>
      <c r="U110" s="14" t="s">
        <v>950</v>
      </c>
      <c r="V110" s="14" t="n">
        <v>31361066</v>
      </c>
    </row>
    <row r="111" customFormat="false" ht="39.75" hidden="false" customHeight="true" outlineLevel="0" collapsed="false">
      <c r="A111" s="13" t="s">
        <v>10</v>
      </c>
      <c r="B111" s="14" t="s">
        <v>900</v>
      </c>
      <c r="C111" s="15" t="s">
        <v>958</v>
      </c>
      <c r="D111" s="15" t="s">
        <v>959</v>
      </c>
      <c r="E111" s="16" t="s">
        <v>960</v>
      </c>
      <c r="F111" s="14" t="s">
        <v>934</v>
      </c>
      <c r="G111" s="14" t="s">
        <v>961</v>
      </c>
      <c r="H111" s="15"/>
      <c r="I111" s="15" t="s">
        <v>962</v>
      </c>
      <c r="J111" s="15" t="s">
        <v>963</v>
      </c>
      <c r="K111" s="15" t="s">
        <v>67</v>
      </c>
      <c r="L111" s="17" t="n">
        <v>90</v>
      </c>
      <c r="M111" s="18" t="n">
        <v>19898000</v>
      </c>
      <c r="N111" s="19" t="n">
        <v>1947</v>
      </c>
      <c r="O111" s="15"/>
      <c r="P111" s="20" t="s">
        <v>964</v>
      </c>
      <c r="Q111" s="15" t="s">
        <v>965</v>
      </c>
      <c r="R111" s="21" t="s">
        <v>71</v>
      </c>
      <c r="S111" s="22"/>
      <c r="T111" s="23"/>
      <c r="U111" s="14" t="s">
        <v>940</v>
      </c>
      <c r="V111" s="14" t="n">
        <v>31361067</v>
      </c>
    </row>
    <row r="112" customFormat="false" ht="39.75" hidden="false" customHeight="true" outlineLevel="0" collapsed="false">
      <c r="A112" s="13" t="s">
        <v>10</v>
      </c>
      <c r="B112" s="14" t="s">
        <v>900</v>
      </c>
      <c r="C112" s="15" t="s">
        <v>966</v>
      </c>
      <c r="D112" s="15" t="s">
        <v>967</v>
      </c>
      <c r="E112" s="16" t="s">
        <v>968</v>
      </c>
      <c r="F112" s="14" t="s">
        <v>944</v>
      </c>
      <c r="G112" s="14" t="s">
        <v>969</v>
      </c>
      <c r="H112" s="15"/>
      <c r="I112" s="15" t="s">
        <v>970</v>
      </c>
      <c r="J112" s="15" t="s">
        <v>918</v>
      </c>
      <c r="K112" s="15" t="s">
        <v>67</v>
      </c>
      <c r="L112" s="17" t="n">
        <v>81</v>
      </c>
      <c r="M112" s="18" t="n">
        <v>22657000</v>
      </c>
      <c r="N112" s="19" t="n">
        <v>1982</v>
      </c>
      <c r="O112" s="15" t="s">
        <v>971</v>
      </c>
      <c r="P112" s="20" t="s">
        <v>972</v>
      </c>
      <c r="Q112" s="15" t="s">
        <v>973</v>
      </c>
      <c r="R112" s="21" t="s">
        <v>71</v>
      </c>
      <c r="S112" s="22"/>
      <c r="T112" s="23"/>
      <c r="U112" s="14" t="s">
        <v>950</v>
      </c>
      <c r="V112" s="14" t="n">
        <v>25103548</v>
      </c>
    </row>
    <row r="113" customFormat="false" ht="39.75" hidden="false" customHeight="true" outlineLevel="0" collapsed="false">
      <c r="A113" s="13" t="s">
        <v>10</v>
      </c>
      <c r="B113" s="14" t="s">
        <v>900</v>
      </c>
      <c r="C113" s="15" t="s">
        <v>974</v>
      </c>
      <c r="D113" s="15" t="s">
        <v>975</v>
      </c>
      <c r="E113" s="16" t="s">
        <v>976</v>
      </c>
      <c r="F113" s="14" t="s">
        <v>944</v>
      </c>
      <c r="G113" s="14" t="s">
        <v>977</v>
      </c>
      <c r="H113" s="15"/>
      <c r="I113" s="15"/>
      <c r="J113" s="15" t="s">
        <v>937</v>
      </c>
      <c r="K113" s="15" t="s">
        <v>67</v>
      </c>
      <c r="L113" s="17" t="n">
        <v>76</v>
      </c>
      <c r="M113" s="18" t="n">
        <v>3176000</v>
      </c>
      <c r="N113" s="19" t="n">
        <v>2008</v>
      </c>
      <c r="O113" s="15"/>
      <c r="P113" s="20" t="s">
        <v>978</v>
      </c>
      <c r="Q113" s="15"/>
      <c r="R113" s="21" t="s">
        <v>71</v>
      </c>
      <c r="S113" s="22"/>
      <c r="T113" s="23"/>
      <c r="U113" s="14" t="s">
        <v>950</v>
      </c>
      <c r="V113" s="14" t="n">
        <v>73893756</v>
      </c>
    </row>
    <row r="114" customFormat="false" ht="39.75" hidden="false" customHeight="true" outlineLevel="0" collapsed="false">
      <c r="A114" s="13" t="s">
        <v>10</v>
      </c>
      <c r="B114" s="14" t="s">
        <v>900</v>
      </c>
      <c r="C114" s="15" t="s">
        <v>979</v>
      </c>
      <c r="D114" s="15" t="s">
        <v>980</v>
      </c>
      <c r="E114" s="16" t="s">
        <v>981</v>
      </c>
      <c r="F114" s="14" t="s">
        <v>982</v>
      </c>
      <c r="G114" s="14" t="s">
        <v>983</v>
      </c>
      <c r="H114" s="15" t="s">
        <v>984</v>
      </c>
      <c r="I114" s="15" t="s">
        <v>985</v>
      </c>
      <c r="J114" s="15" t="s">
        <v>918</v>
      </c>
      <c r="K114" s="15" t="s">
        <v>67</v>
      </c>
      <c r="L114" s="17" t="n">
        <v>63</v>
      </c>
      <c r="M114" s="18" t="n">
        <v>17109000</v>
      </c>
      <c r="N114" s="19" t="n">
        <v>1989</v>
      </c>
      <c r="O114" s="15"/>
      <c r="P114" s="20" t="s">
        <v>986</v>
      </c>
      <c r="Q114" s="15" t="s">
        <v>987</v>
      </c>
      <c r="R114" s="21" t="s">
        <v>71</v>
      </c>
      <c r="S114" s="22"/>
      <c r="T114" s="23"/>
      <c r="U114" s="14" t="s">
        <v>988</v>
      </c>
      <c r="V114" s="14" t="n">
        <v>2379476</v>
      </c>
    </row>
    <row r="115" customFormat="false" ht="39.75" hidden="false" customHeight="true" outlineLevel="0" collapsed="false">
      <c r="A115" s="24" t="s">
        <v>12</v>
      </c>
      <c r="B115" s="14" t="s">
        <v>900</v>
      </c>
      <c r="C115" s="15" t="s">
        <v>989</v>
      </c>
      <c r="D115" s="15" t="s">
        <v>990</v>
      </c>
      <c r="E115" s="16" t="s">
        <v>991</v>
      </c>
      <c r="F115" s="14" t="s">
        <v>904</v>
      </c>
      <c r="G115" s="14" t="s">
        <v>992</v>
      </c>
      <c r="H115" s="15" t="s">
        <v>993</v>
      </c>
      <c r="I115" s="15" t="s">
        <v>994</v>
      </c>
      <c r="J115" s="15" t="s">
        <v>995</v>
      </c>
      <c r="K115" s="15" t="s">
        <v>67</v>
      </c>
      <c r="L115" s="17" t="n">
        <v>250</v>
      </c>
      <c r="M115" s="18" t="n">
        <v>159131000</v>
      </c>
      <c r="N115" s="19" t="n">
        <v>1864</v>
      </c>
      <c r="O115" s="15"/>
      <c r="P115" s="20" t="s">
        <v>996</v>
      </c>
      <c r="Q115" s="15" t="s">
        <v>997</v>
      </c>
      <c r="R115" s="21" t="s">
        <v>71</v>
      </c>
      <c r="S115" s="22"/>
      <c r="T115" s="23"/>
      <c r="U115" s="14" t="s">
        <v>998</v>
      </c>
      <c r="V115" s="14" t="n">
        <v>31693971</v>
      </c>
    </row>
    <row r="116" customFormat="false" ht="39.75" hidden="false" customHeight="true" outlineLevel="0" collapsed="false">
      <c r="A116" s="24" t="s">
        <v>12</v>
      </c>
      <c r="B116" s="14" t="s">
        <v>900</v>
      </c>
      <c r="C116" s="15" t="s">
        <v>999</v>
      </c>
      <c r="D116" s="15" t="s">
        <v>691</v>
      </c>
      <c r="E116" s="16" t="s">
        <v>1000</v>
      </c>
      <c r="F116" s="14" t="s">
        <v>904</v>
      </c>
      <c r="G116" s="14" t="s">
        <v>1001</v>
      </c>
      <c r="H116" s="15" t="s">
        <v>1002</v>
      </c>
      <c r="I116" s="15" t="s">
        <v>1003</v>
      </c>
      <c r="J116" s="15" t="s">
        <v>995</v>
      </c>
      <c r="K116" s="15" t="s">
        <v>67</v>
      </c>
      <c r="L116" s="17" t="n">
        <v>219</v>
      </c>
      <c r="M116" s="18" t="n">
        <v>123485000</v>
      </c>
      <c r="N116" s="19" t="n">
        <v>2008</v>
      </c>
      <c r="O116" s="15"/>
      <c r="P116" s="20" t="s">
        <v>1004</v>
      </c>
      <c r="Q116" s="15"/>
      <c r="R116" s="21" t="s">
        <v>71</v>
      </c>
      <c r="S116" s="22"/>
      <c r="T116" s="23"/>
      <c r="U116" s="14" t="s">
        <v>998</v>
      </c>
      <c r="V116" s="14" t="n">
        <v>347288554</v>
      </c>
    </row>
    <row r="117" customFormat="false" ht="39.75" hidden="false" customHeight="true" outlineLevel="0" collapsed="false">
      <c r="A117" s="24" t="s">
        <v>12</v>
      </c>
      <c r="B117" s="14" t="s">
        <v>900</v>
      </c>
      <c r="C117" s="15" t="s">
        <v>1005</v>
      </c>
      <c r="D117" s="15" t="s">
        <v>1006</v>
      </c>
      <c r="E117" s="16" t="s">
        <v>1007</v>
      </c>
      <c r="F117" s="14" t="s">
        <v>944</v>
      </c>
      <c r="G117" s="14" t="s">
        <v>1008</v>
      </c>
      <c r="H117" s="15"/>
      <c r="I117" s="15" t="s">
        <v>1009</v>
      </c>
      <c r="J117" s="15" t="s">
        <v>937</v>
      </c>
      <c r="K117" s="15" t="s">
        <v>67</v>
      </c>
      <c r="L117" s="17" t="n">
        <v>200</v>
      </c>
      <c r="M117" s="18" t="n">
        <v>29361000</v>
      </c>
      <c r="N117" s="19" t="n">
        <v>2017</v>
      </c>
      <c r="O117" s="15"/>
      <c r="P117" s="20" t="s">
        <v>1010</v>
      </c>
      <c r="Q117" s="15" t="s">
        <v>1011</v>
      </c>
      <c r="R117" s="21" t="s">
        <v>71</v>
      </c>
      <c r="S117" s="22"/>
      <c r="T117" s="23"/>
      <c r="U117" s="14" t="s">
        <v>950</v>
      </c>
      <c r="V117" s="14" t="n">
        <v>435710361</v>
      </c>
    </row>
    <row r="118" customFormat="false" ht="39.75" hidden="false" customHeight="true" outlineLevel="0" collapsed="false">
      <c r="A118" s="24" t="s">
        <v>12</v>
      </c>
      <c r="B118" s="14" t="s">
        <v>900</v>
      </c>
      <c r="C118" s="15" t="s">
        <v>1012</v>
      </c>
      <c r="D118" s="15" t="s">
        <v>1013</v>
      </c>
      <c r="E118" s="16" t="s">
        <v>1014</v>
      </c>
      <c r="F118" s="14" t="s">
        <v>944</v>
      </c>
      <c r="G118" s="14" t="s">
        <v>1015</v>
      </c>
      <c r="H118" s="15"/>
      <c r="I118" s="15" t="s">
        <v>1016</v>
      </c>
      <c r="J118" s="15" t="s">
        <v>963</v>
      </c>
      <c r="K118" s="15" t="s">
        <v>67</v>
      </c>
      <c r="L118" s="17" t="n">
        <v>159</v>
      </c>
      <c r="M118" s="18" t="n">
        <v>7368000</v>
      </c>
      <c r="N118" s="19" t="n">
        <v>2008</v>
      </c>
      <c r="O118" s="15"/>
      <c r="P118" s="20" t="s">
        <v>1017</v>
      </c>
      <c r="Q118" s="15"/>
      <c r="R118" s="21" t="s">
        <v>71</v>
      </c>
      <c r="S118" s="22"/>
      <c r="T118" s="23"/>
      <c r="U118" s="14" t="s">
        <v>950</v>
      </c>
      <c r="V118" s="14" t="n">
        <v>352540974</v>
      </c>
    </row>
    <row r="119" customFormat="false" ht="39.75" hidden="false" customHeight="true" outlineLevel="0" collapsed="false">
      <c r="A119" s="24" t="s">
        <v>12</v>
      </c>
      <c r="B119" s="14" t="s">
        <v>900</v>
      </c>
      <c r="C119" s="15" t="s">
        <v>1018</v>
      </c>
      <c r="D119" s="15" t="s">
        <v>1019</v>
      </c>
      <c r="E119" s="16" t="s">
        <v>1020</v>
      </c>
      <c r="F119" s="14" t="s">
        <v>982</v>
      </c>
      <c r="G119" s="14" t="s">
        <v>1021</v>
      </c>
      <c r="H119" s="15" t="s">
        <v>1022</v>
      </c>
      <c r="I119" s="15" t="s">
        <v>1023</v>
      </c>
      <c r="J119" s="15" t="s">
        <v>963</v>
      </c>
      <c r="K119" s="15" t="s">
        <v>67</v>
      </c>
      <c r="L119" s="17" t="n">
        <v>136</v>
      </c>
      <c r="M119" s="18" t="n">
        <v>28742000</v>
      </c>
      <c r="N119" s="19" t="n">
        <v>2014</v>
      </c>
      <c r="O119" s="15"/>
      <c r="P119" s="20" t="s">
        <v>1024</v>
      </c>
      <c r="Q119" s="15" t="s">
        <v>1025</v>
      </c>
      <c r="R119" s="21" t="s">
        <v>71</v>
      </c>
      <c r="S119" s="22"/>
      <c r="T119" s="23"/>
      <c r="U119" s="14" t="s">
        <v>988</v>
      </c>
      <c r="V119" s="14" t="n">
        <v>363727526</v>
      </c>
    </row>
    <row r="120" customFormat="false" ht="39.75" hidden="false" customHeight="true" outlineLevel="0" collapsed="false">
      <c r="A120" s="24" t="s">
        <v>12</v>
      </c>
      <c r="B120" s="14" t="s">
        <v>900</v>
      </c>
      <c r="C120" s="15" t="s">
        <v>1026</v>
      </c>
      <c r="D120" s="15" t="s">
        <v>407</v>
      </c>
      <c r="E120" s="16" t="s">
        <v>1027</v>
      </c>
      <c r="F120" s="14" t="s">
        <v>944</v>
      </c>
      <c r="G120" s="14" t="s">
        <v>1028</v>
      </c>
      <c r="H120" s="15"/>
      <c r="I120" s="15"/>
      <c r="J120" s="15" t="s">
        <v>937</v>
      </c>
      <c r="K120" s="15" t="s">
        <v>67</v>
      </c>
      <c r="L120" s="17" t="n">
        <v>111</v>
      </c>
      <c r="M120" s="18" t="n">
        <v>7318000</v>
      </c>
      <c r="N120" s="19" t="n">
        <v>1986</v>
      </c>
      <c r="O120" s="15"/>
      <c r="P120" s="20" t="s">
        <v>1029</v>
      </c>
      <c r="Q120" s="15"/>
      <c r="R120" s="21" t="s">
        <v>71</v>
      </c>
      <c r="S120" s="22"/>
      <c r="T120" s="23"/>
      <c r="U120" s="14" t="s">
        <v>950</v>
      </c>
      <c r="V120" s="14" t="n">
        <v>353854486</v>
      </c>
    </row>
    <row r="121" customFormat="false" ht="39.75" hidden="false" customHeight="true" outlineLevel="0" collapsed="false">
      <c r="A121" s="24" t="s">
        <v>12</v>
      </c>
      <c r="B121" s="14" t="s">
        <v>900</v>
      </c>
      <c r="C121" s="15" t="s">
        <v>1030</v>
      </c>
      <c r="D121" s="15" t="s">
        <v>698</v>
      </c>
      <c r="E121" s="16" t="s">
        <v>1031</v>
      </c>
      <c r="F121" s="14" t="s">
        <v>944</v>
      </c>
      <c r="G121" s="14" t="s">
        <v>1032</v>
      </c>
      <c r="H121" s="15"/>
      <c r="I121" s="15" t="s">
        <v>1033</v>
      </c>
      <c r="J121" s="15" t="s">
        <v>995</v>
      </c>
      <c r="K121" s="15" t="s">
        <v>67</v>
      </c>
      <c r="L121" s="17" t="n">
        <v>96</v>
      </c>
      <c r="M121" s="18" t="n">
        <v>18414000</v>
      </c>
      <c r="N121" s="19" t="n">
        <v>1990</v>
      </c>
      <c r="O121" s="15"/>
      <c r="P121" s="20" t="s">
        <v>1034</v>
      </c>
      <c r="Q121" s="15"/>
      <c r="R121" s="21" t="s">
        <v>71</v>
      </c>
      <c r="S121" s="22"/>
      <c r="T121" s="23"/>
      <c r="U121" s="14" t="s">
        <v>950</v>
      </c>
      <c r="V121" s="14" t="n">
        <v>363797900</v>
      </c>
    </row>
    <row r="122" customFormat="false" ht="39.75" hidden="false" customHeight="true" outlineLevel="0" collapsed="false">
      <c r="A122" s="24" t="s">
        <v>12</v>
      </c>
      <c r="B122" s="14" t="s">
        <v>900</v>
      </c>
      <c r="C122" s="15" t="s">
        <v>1035</v>
      </c>
      <c r="D122" s="15" t="s">
        <v>1036</v>
      </c>
      <c r="E122" s="16" t="s">
        <v>1037</v>
      </c>
      <c r="F122" s="14" t="s">
        <v>944</v>
      </c>
      <c r="G122" s="14" t="s">
        <v>1038</v>
      </c>
      <c r="H122" s="15"/>
      <c r="I122" s="15" t="s">
        <v>1039</v>
      </c>
      <c r="J122" s="15" t="s">
        <v>937</v>
      </c>
      <c r="K122" s="15" t="s">
        <v>67</v>
      </c>
      <c r="L122" s="17" t="n">
        <v>87</v>
      </c>
      <c r="M122" s="18" t="n">
        <v>12715000</v>
      </c>
      <c r="N122" s="19" t="n">
        <v>2002</v>
      </c>
      <c r="O122" s="15"/>
      <c r="P122" s="20" t="s">
        <v>1040</v>
      </c>
      <c r="Q122" s="15"/>
      <c r="R122" s="21" t="s">
        <v>71</v>
      </c>
      <c r="S122" s="22"/>
      <c r="T122" s="23"/>
      <c r="U122" s="14" t="s">
        <v>950</v>
      </c>
      <c r="V122" s="14" t="n">
        <v>345317503</v>
      </c>
    </row>
    <row r="123" customFormat="false" ht="39.75" hidden="false" customHeight="true" outlineLevel="0" collapsed="false">
      <c r="A123" s="24" t="s">
        <v>12</v>
      </c>
      <c r="B123" s="14" t="s">
        <v>900</v>
      </c>
      <c r="C123" s="15" t="s">
        <v>1041</v>
      </c>
      <c r="D123" s="15" t="s">
        <v>1042</v>
      </c>
      <c r="E123" s="16" t="s">
        <v>1043</v>
      </c>
      <c r="F123" s="14" t="s">
        <v>944</v>
      </c>
      <c r="G123" s="14" t="s">
        <v>1044</v>
      </c>
      <c r="H123" s="15"/>
      <c r="I123" s="15"/>
      <c r="J123" s="15" t="s">
        <v>963</v>
      </c>
      <c r="K123" s="15" t="s">
        <v>67</v>
      </c>
      <c r="L123" s="17" t="n">
        <v>85</v>
      </c>
      <c r="M123" s="18" t="n">
        <v>2931000</v>
      </c>
      <c r="N123" s="19" t="n">
        <v>1967</v>
      </c>
      <c r="O123" s="15" t="s">
        <v>1045</v>
      </c>
      <c r="P123" s="20" t="s">
        <v>1046</v>
      </c>
      <c r="Q123" s="15" t="s">
        <v>1047</v>
      </c>
      <c r="R123" s="21" t="s">
        <v>71</v>
      </c>
      <c r="S123" s="22"/>
      <c r="T123" s="23"/>
      <c r="U123" s="14" t="s">
        <v>950</v>
      </c>
      <c r="V123" s="14" t="n">
        <v>44254533</v>
      </c>
    </row>
    <row r="124" customFormat="false" ht="39.75" hidden="false" customHeight="true" outlineLevel="0" collapsed="false">
      <c r="A124" s="24" t="s">
        <v>12</v>
      </c>
      <c r="B124" s="14" t="s">
        <v>900</v>
      </c>
      <c r="C124" s="15" t="s">
        <v>1048</v>
      </c>
      <c r="D124" s="15" t="s">
        <v>1049</v>
      </c>
      <c r="E124" s="16" t="s">
        <v>1050</v>
      </c>
      <c r="F124" s="14" t="s">
        <v>944</v>
      </c>
      <c r="G124" s="14" t="s">
        <v>1051</v>
      </c>
      <c r="H124" s="15"/>
      <c r="I124" s="15" t="s">
        <v>1052</v>
      </c>
      <c r="J124" s="15" t="s">
        <v>1053</v>
      </c>
      <c r="K124" s="15" t="s">
        <v>67</v>
      </c>
      <c r="L124" s="17" t="n">
        <v>80</v>
      </c>
      <c r="M124" s="18" t="n">
        <v>16889000</v>
      </c>
      <c r="N124" s="19" t="n">
        <v>1946</v>
      </c>
      <c r="O124" s="15"/>
      <c r="P124" s="20" t="s">
        <v>1054</v>
      </c>
      <c r="Q124" s="15" t="s">
        <v>1055</v>
      </c>
      <c r="R124" s="21" t="s">
        <v>71</v>
      </c>
      <c r="S124" s="22"/>
      <c r="T124" s="23"/>
      <c r="U124" s="14" t="s">
        <v>950</v>
      </c>
      <c r="V124" s="14" t="n">
        <v>53858535</v>
      </c>
    </row>
    <row r="125" customFormat="false" ht="39.75" hidden="false" customHeight="true" outlineLevel="0" collapsed="false">
      <c r="A125" s="24" t="s">
        <v>12</v>
      </c>
      <c r="B125" s="14" t="s">
        <v>900</v>
      </c>
      <c r="C125" s="15" t="s">
        <v>1056</v>
      </c>
      <c r="D125" s="15" t="s">
        <v>1057</v>
      </c>
      <c r="E125" s="16" t="s">
        <v>1058</v>
      </c>
      <c r="F125" s="14" t="s">
        <v>904</v>
      </c>
      <c r="G125" s="14" t="s">
        <v>1059</v>
      </c>
      <c r="H125" s="15"/>
      <c r="I125" s="15" t="s">
        <v>1060</v>
      </c>
      <c r="J125" s="15" t="s">
        <v>918</v>
      </c>
      <c r="K125" s="15" t="s">
        <v>67</v>
      </c>
      <c r="L125" s="17" t="n">
        <v>74</v>
      </c>
      <c r="M125" s="18" t="n">
        <v>19485000</v>
      </c>
      <c r="N125" s="19"/>
      <c r="O125" s="15"/>
      <c r="P125" s="20" t="s">
        <v>1061</v>
      </c>
      <c r="Q125" s="15" t="s">
        <v>1062</v>
      </c>
      <c r="R125" s="21" t="s">
        <v>71</v>
      </c>
      <c r="S125" s="22"/>
      <c r="T125" s="23"/>
      <c r="U125" s="14" t="s">
        <v>998</v>
      </c>
      <c r="V125" s="14" t="n">
        <v>12667248</v>
      </c>
    </row>
    <row r="126" customFormat="false" ht="39.75" hidden="false" customHeight="true" outlineLevel="0" collapsed="false">
      <c r="A126" s="13" t="s">
        <v>10</v>
      </c>
      <c r="B126" s="14" t="s">
        <v>1063</v>
      </c>
      <c r="C126" s="15" t="s">
        <v>1064</v>
      </c>
      <c r="D126" s="15" t="s">
        <v>1065</v>
      </c>
      <c r="E126" s="16" t="s">
        <v>1066</v>
      </c>
      <c r="F126" s="14" t="s">
        <v>1067</v>
      </c>
      <c r="G126" s="14" t="s">
        <v>1068</v>
      </c>
      <c r="H126" s="15" t="s">
        <v>1069</v>
      </c>
      <c r="I126" s="15" t="s">
        <v>1070</v>
      </c>
      <c r="J126" s="15" t="s">
        <v>918</v>
      </c>
      <c r="K126" s="15" t="s">
        <v>67</v>
      </c>
      <c r="L126" s="17" t="n">
        <v>340</v>
      </c>
      <c r="M126" s="18" t="n">
        <v>143434000</v>
      </c>
      <c r="N126" s="19" t="n">
        <v>1899</v>
      </c>
      <c r="O126" s="15"/>
      <c r="P126" s="20" t="s">
        <v>1071</v>
      </c>
      <c r="Q126" s="15" t="s">
        <v>1072</v>
      </c>
      <c r="R126" s="21" t="s">
        <v>71</v>
      </c>
      <c r="S126" s="22"/>
      <c r="T126" s="23"/>
      <c r="U126" s="14" t="s">
        <v>1073</v>
      </c>
      <c r="V126" s="14" t="n">
        <v>8587966</v>
      </c>
    </row>
    <row r="127" customFormat="false" ht="39.75" hidden="false" customHeight="true" outlineLevel="0" collapsed="false">
      <c r="A127" s="13" t="s">
        <v>10</v>
      </c>
      <c r="B127" s="14" t="s">
        <v>1063</v>
      </c>
      <c r="C127" s="15" t="s">
        <v>1074</v>
      </c>
      <c r="D127" s="15" t="s">
        <v>1075</v>
      </c>
      <c r="E127" s="16" t="s">
        <v>1076</v>
      </c>
      <c r="F127" s="14" t="s">
        <v>1067</v>
      </c>
      <c r="G127" s="14" t="s">
        <v>1077</v>
      </c>
      <c r="H127" s="15" t="s">
        <v>1078</v>
      </c>
      <c r="I127" s="15" t="s">
        <v>1079</v>
      </c>
      <c r="J127" s="15" t="s">
        <v>937</v>
      </c>
      <c r="K127" s="15" t="s">
        <v>67</v>
      </c>
      <c r="L127" s="17" t="n">
        <v>250</v>
      </c>
      <c r="M127" s="18" t="n">
        <v>30780000</v>
      </c>
      <c r="N127" s="19" t="n">
        <v>1979</v>
      </c>
      <c r="O127" s="15"/>
      <c r="P127" s="20" t="s">
        <v>1080</v>
      </c>
      <c r="Q127" s="15" t="s">
        <v>1081</v>
      </c>
      <c r="R127" s="21" t="s">
        <v>71</v>
      </c>
      <c r="S127" s="22"/>
      <c r="T127" s="23"/>
      <c r="U127" s="14" t="s">
        <v>1082</v>
      </c>
      <c r="V127" s="14" t="n">
        <v>52348112</v>
      </c>
    </row>
    <row r="128" customFormat="false" ht="39.75" hidden="false" customHeight="true" outlineLevel="0" collapsed="false">
      <c r="A128" s="13" t="s">
        <v>10</v>
      </c>
      <c r="B128" s="14" t="s">
        <v>1063</v>
      </c>
      <c r="C128" s="15" t="s">
        <v>1083</v>
      </c>
      <c r="D128" s="15" t="s">
        <v>1084</v>
      </c>
      <c r="E128" s="16" t="s">
        <v>1085</v>
      </c>
      <c r="F128" s="14" t="s">
        <v>1067</v>
      </c>
      <c r="G128" s="14" t="s">
        <v>1086</v>
      </c>
      <c r="H128" s="15" t="s">
        <v>1087</v>
      </c>
      <c r="I128" s="15" t="s">
        <v>1088</v>
      </c>
      <c r="J128" s="15" t="s">
        <v>1089</v>
      </c>
      <c r="K128" s="15" t="s">
        <v>67</v>
      </c>
      <c r="L128" s="17" t="n">
        <v>200</v>
      </c>
      <c r="M128" s="18" t="n">
        <v>48074000</v>
      </c>
      <c r="N128" s="19"/>
      <c r="O128" s="15"/>
      <c r="P128" s="20" t="s">
        <v>1090</v>
      </c>
      <c r="Q128" s="15"/>
      <c r="R128" s="21" t="s">
        <v>71</v>
      </c>
      <c r="S128" s="22"/>
      <c r="T128" s="23"/>
      <c r="U128" s="14" t="s">
        <v>1073</v>
      </c>
      <c r="V128" s="14" t="n">
        <v>57574629</v>
      </c>
    </row>
    <row r="129" customFormat="false" ht="39.75" hidden="false" customHeight="true" outlineLevel="0" collapsed="false">
      <c r="A129" s="13" t="s">
        <v>10</v>
      </c>
      <c r="B129" s="14" t="s">
        <v>1063</v>
      </c>
      <c r="C129" s="15" t="s">
        <v>1091</v>
      </c>
      <c r="D129" s="15" t="s">
        <v>1092</v>
      </c>
      <c r="E129" s="16" t="s">
        <v>1093</v>
      </c>
      <c r="F129" s="14" t="s">
        <v>1067</v>
      </c>
      <c r="G129" s="14" t="s">
        <v>1094</v>
      </c>
      <c r="H129" s="15" t="s">
        <v>1095</v>
      </c>
      <c r="I129" s="15" t="s">
        <v>1096</v>
      </c>
      <c r="J129" s="15" t="s">
        <v>1089</v>
      </c>
      <c r="K129" s="15" t="s">
        <v>67</v>
      </c>
      <c r="L129" s="17" t="n">
        <v>200</v>
      </c>
      <c r="M129" s="18" t="n">
        <v>186922000</v>
      </c>
      <c r="N129" s="19" t="n">
        <v>1978</v>
      </c>
      <c r="O129" s="15"/>
      <c r="P129" s="20" t="s">
        <v>1097</v>
      </c>
      <c r="Q129" s="15"/>
      <c r="R129" s="21" t="s">
        <v>71</v>
      </c>
      <c r="S129" s="22"/>
      <c r="T129" s="23"/>
      <c r="U129" s="14" t="s">
        <v>1073</v>
      </c>
      <c r="V129" s="14" t="n">
        <v>43008409</v>
      </c>
    </row>
    <row r="130" customFormat="false" ht="39.75" hidden="false" customHeight="true" outlineLevel="0" collapsed="false">
      <c r="A130" s="13" t="s">
        <v>10</v>
      </c>
      <c r="B130" s="14" t="s">
        <v>1063</v>
      </c>
      <c r="C130" s="15" t="s">
        <v>1098</v>
      </c>
      <c r="D130" s="15" t="s">
        <v>1099</v>
      </c>
      <c r="E130" s="16" t="s">
        <v>1100</v>
      </c>
      <c r="F130" s="14" t="s">
        <v>1067</v>
      </c>
      <c r="G130" s="14" t="s">
        <v>1101</v>
      </c>
      <c r="H130" s="15" t="s">
        <v>1102</v>
      </c>
      <c r="I130" s="15" t="s">
        <v>1103</v>
      </c>
      <c r="J130" s="15" t="s">
        <v>918</v>
      </c>
      <c r="K130" s="15" t="s">
        <v>67</v>
      </c>
      <c r="L130" s="17" t="n">
        <v>113</v>
      </c>
      <c r="M130" s="18" t="n">
        <v>24452000</v>
      </c>
      <c r="N130" s="19" t="n">
        <v>1994</v>
      </c>
      <c r="O130" s="15" t="s">
        <v>1104</v>
      </c>
      <c r="P130" s="20" t="s">
        <v>1105</v>
      </c>
      <c r="Q130" s="15" t="s">
        <v>1106</v>
      </c>
      <c r="R130" s="21" t="s">
        <v>71</v>
      </c>
      <c r="S130" s="22"/>
      <c r="T130" s="23"/>
      <c r="U130" s="14" t="s">
        <v>1073</v>
      </c>
      <c r="V130" s="14" t="n">
        <v>39175210</v>
      </c>
    </row>
    <row r="131" customFormat="false" ht="39.75" hidden="false" customHeight="true" outlineLevel="0" collapsed="false">
      <c r="A131" s="24" t="s">
        <v>12</v>
      </c>
      <c r="B131" s="14" t="s">
        <v>1063</v>
      </c>
      <c r="C131" s="15" t="s">
        <v>1107</v>
      </c>
      <c r="D131" s="15" t="s">
        <v>1108</v>
      </c>
      <c r="E131" s="16" t="s">
        <v>1109</v>
      </c>
      <c r="F131" s="14" t="s">
        <v>1067</v>
      </c>
      <c r="G131" s="14" t="s">
        <v>1110</v>
      </c>
      <c r="H131" s="15" t="s">
        <v>1111</v>
      </c>
      <c r="I131" s="15" t="s">
        <v>1112</v>
      </c>
      <c r="J131" s="15" t="s">
        <v>1089</v>
      </c>
      <c r="K131" s="15" t="s">
        <v>67</v>
      </c>
      <c r="L131" s="17" t="n">
        <v>481</v>
      </c>
      <c r="M131" s="18" t="n">
        <v>36329000</v>
      </c>
      <c r="N131" s="19" t="n">
        <v>1991</v>
      </c>
      <c r="O131" s="15"/>
      <c r="P131" s="20" t="s">
        <v>1113</v>
      </c>
      <c r="Q131" s="15" t="s">
        <v>1114</v>
      </c>
      <c r="R131" s="21" t="s">
        <v>71</v>
      </c>
      <c r="S131" s="22"/>
      <c r="T131" s="23"/>
      <c r="U131" s="14" t="s">
        <v>1073</v>
      </c>
      <c r="V131" s="14" t="n">
        <v>36242667</v>
      </c>
    </row>
    <row r="132" customFormat="false" ht="39.75" hidden="false" customHeight="true" outlineLevel="0" collapsed="false">
      <c r="A132" s="24" t="s">
        <v>12</v>
      </c>
      <c r="B132" s="14" t="s">
        <v>1063</v>
      </c>
      <c r="C132" s="15" t="s">
        <v>1115</v>
      </c>
      <c r="D132" s="15" t="s">
        <v>1116</v>
      </c>
      <c r="E132" s="16" t="s">
        <v>1117</v>
      </c>
      <c r="F132" s="14" t="s">
        <v>1067</v>
      </c>
      <c r="G132" s="14" t="s">
        <v>1118</v>
      </c>
      <c r="H132" s="15" t="s">
        <v>1119</v>
      </c>
      <c r="I132" s="15" t="s">
        <v>1120</v>
      </c>
      <c r="J132" s="15" t="s">
        <v>1053</v>
      </c>
      <c r="K132" s="15" t="s">
        <v>67</v>
      </c>
      <c r="L132" s="17" t="n">
        <v>382</v>
      </c>
      <c r="M132" s="18" t="n">
        <v>282931000</v>
      </c>
      <c r="N132" s="19" t="n">
        <v>1923</v>
      </c>
      <c r="O132" s="15"/>
      <c r="P132" s="20" t="s">
        <v>1121</v>
      </c>
      <c r="Q132" s="15"/>
      <c r="R132" s="21" t="s">
        <v>71</v>
      </c>
      <c r="S132" s="22"/>
      <c r="T132" s="23"/>
      <c r="U132" s="14" t="s">
        <v>1073</v>
      </c>
      <c r="V132" s="14" t="n">
        <v>45878157</v>
      </c>
    </row>
    <row r="133" customFormat="false" ht="39.75" hidden="false" customHeight="true" outlineLevel="0" collapsed="false">
      <c r="A133" s="24" t="s">
        <v>12</v>
      </c>
      <c r="B133" s="14" t="s">
        <v>1063</v>
      </c>
      <c r="C133" s="15" t="s">
        <v>1122</v>
      </c>
      <c r="D133" s="15" t="s">
        <v>715</v>
      </c>
      <c r="E133" s="16" t="s">
        <v>1123</v>
      </c>
      <c r="F133" s="14" t="s">
        <v>1067</v>
      </c>
      <c r="G133" s="14" t="s">
        <v>1124</v>
      </c>
      <c r="H133" s="15" t="s">
        <v>1125</v>
      </c>
      <c r="I133" s="15" t="s">
        <v>1126</v>
      </c>
      <c r="J133" s="15" t="s">
        <v>995</v>
      </c>
      <c r="K133" s="15" t="s">
        <v>67</v>
      </c>
      <c r="L133" s="17" t="n">
        <v>344</v>
      </c>
      <c r="M133" s="18" t="n">
        <v>100000000</v>
      </c>
      <c r="N133" s="19" t="n">
        <v>1978</v>
      </c>
      <c r="O133" s="15"/>
      <c r="P133" s="20" t="s">
        <v>1127</v>
      </c>
      <c r="Q133" s="15"/>
      <c r="R133" s="21" t="s">
        <v>71</v>
      </c>
      <c r="S133" s="22"/>
      <c r="T133" s="23"/>
      <c r="U133" s="14" t="s">
        <v>1082</v>
      </c>
      <c r="V133" s="14" t="n">
        <v>62097206</v>
      </c>
    </row>
    <row r="134" customFormat="false" ht="39.75" hidden="false" customHeight="true" outlineLevel="0" collapsed="false">
      <c r="A134" s="24" t="s">
        <v>12</v>
      </c>
      <c r="B134" s="14" t="s">
        <v>1063</v>
      </c>
      <c r="C134" s="15" t="s">
        <v>1128</v>
      </c>
      <c r="D134" s="15" t="s">
        <v>1129</v>
      </c>
      <c r="E134" s="16" t="s">
        <v>1130</v>
      </c>
      <c r="F134" s="14" t="s">
        <v>1067</v>
      </c>
      <c r="G134" s="14" t="s">
        <v>1131</v>
      </c>
      <c r="H134" s="15"/>
      <c r="I134" s="15" t="s">
        <v>1132</v>
      </c>
      <c r="J134" s="15" t="s">
        <v>937</v>
      </c>
      <c r="K134" s="15" t="s">
        <v>67</v>
      </c>
      <c r="L134" s="17" t="n">
        <v>336</v>
      </c>
      <c r="M134" s="18" t="n">
        <v>17276000</v>
      </c>
      <c r="N134" s="19" t="n">
        <v>1991</v>
      </c>
      <c r="O134" s="15"/>
      <c r="P134" s="20" t="s">
        <v>1133</v>
      </c>
      <c r="Q134" s="15"/>
      <c r="R134" s="21" t="s">
        <v>71</v>
      </c>
      <c r="S134" s="22"/>
      <c r="T134" s="23"/>
      <c r="U134" s="14" t="s">
        <v>1073</v>
      </c>
      <c r="V134" s="14" t="n">
        <v>8587981</v>
      </c>
    </row>
    <row r="135" customFormat="false" ht="39.75" hidden="false" customHeight="true" outlineLevel="0" collapsed="false">
      <c r="A135" s="24" t="s">
        <v>12</v>
      </c>
      <c r="B135" s="14" t="s">
        <v>1063</v>
      </c>
      <c r="C135" s="15" t="s">
        <v>1134</v>
      </c>
      <c r="D135" s="15" t="s">
        <v>1135</v>
      </c>
      <c r="E135" s="16" t="s">
        <v>1136</v>
      </c>
      <c r="F135" s="14" t="s">
        <v>1067</v>
      </c>
      <c r="G135" s="14" t="s">
        <v>1137</v>
      </c>
      <c r="H135" s="15"/>
      <c r="I135" s="15" t="s">
        <v>1138</v>
      </c>
      <c r="J135" s="15" t="s">
        <v>937</v>
      </c>
      <c r="K135" s="15" t="s">
        <v>67</v>
      </c>
      <c r="L135" s="17" t="n">
        <v>317</v>
      </c>
      <c r="M135" s="18" t="n">
        <v>29323000</v>
      </c>
      <c r="N135" s="19" t="n">
        <v>1981</v>
      </c>
      <c r="O135" s="15"/>
      <c r="P135" s="20" t="s">
        <v>1139</v>
      </c>
      <c r="Q135" s="15" t="s">
        <v>1140</v>
      </c>
      <c r="R135" s="21" t="s">
        <v>71</v>
      </c>
      <c r="S135" s="22"/>
      <c r="T135" s="23"/>
      <c r="U135" s="14" t="s">
        <v>1073</v>
      </c>
      <c r="V135" s="14" t="n">
        <v>357382839</v>
      </c>
    </row>
    <row r="136" customFormat="false" ht="39.75" hidden="false" customHeight="true" outlineLevel="0" collapsed="false">
      <c r="A136" s="24" t="s">
        <v>12</v>
      </c>
      <c r="B136" s="14" t="s">
        <v>1063</v>
      </c>
      <c r="C136" s="15" t="s">
        <v>1141</v>
      </c>
      <c r="D136" s="15" t="s">
        <v>494</v>
      </c>
      <c r="E136" s="16" t="s">
        <v>1142</v>
      </c>
      <c r="F136" s="14" t="s">
        <v>1067</v>
      </c>
      <c r="G136" s="14" t="s">
        <v>1143</v>
      </c>
      <c r="H136" s="15"/>
      <c r="I136" s="15" t="s">
        <v>1144</v>
      </c>
      <c r="J136" s="15" t="s">
        <v>963</v>
      </c>
      <c r="K136" s="15" t="s">
        <v>67</v>
      </c>
      <c r="L136" s="17" t="n">
        <v>317</v>
      </c>
      <c r="M136" s="18" t="n">
        <v>331994000</v>
      </c>
      <c r="N136" s="19" t="n">
        <v>2001</v>
      </c>
      <c r="O136" s="15"/>
      <c r="P136" s="20" t="s">
        <v>1145</v>
      </c>
      <c r="Q136" s="15" t="s">
        <v>1146</v>
      </c>
      <c r="R136" s="21" t="s">
        <v>71</v>
      </c>
      <c r="S136" s="22"/>
      <c r="T136" s="23"/>
      <c r="U136" s="14" t="s">
        <v>1082</v>
      </c>
      <c r="V136" s="14" t="n">
        <v>57150904</v>
      </c>
    </row>
    <row r="137" customFormat="false" ht="39.75" hidden="false" customHeight="true" outlineLevel="0" collapsed="false">
      <c r="A137" s="24" t="s">
        <v>12</v>
      </c>
      <c r="B137" s="14" t="s">
        <v>1063</v>
      </c>
      <c r="C137" s="15" t="s">
        <v>1147</v>
      </c>
      <c r="D137" s="15" t="s">
        <v>1148</v>
      </c>
      <c r="E137" s="16" t="s">
        <v>1149</v>
      </c>
      <c r="F137" s="14" t="s">
        <v>1067</v>
      </c>
      <c r="G137" s="14" t="s">
        <v>1150</v>
      </c>
      <c r="H137" s="15"/>
      <c r="I137" s="15" t="s">
        <v>1151</v>
      </c>
      <c r="J137" s="15" t="s">
        <v>937</v>
      </c>
      <c r="K137" s="15" t="s">
        <v>67</v>
      </c>
      <c r="L137" s="17" t="n">
        <v>266</v>
      </c>
      <c r="M137" s="18" t="n">
        <v>15421000</v>
      </c>
      <c r="N137" s="19" t="n">
        <v>1985</v>
      </c>
      <c r="O137" s="15"/>
      <c r="P137" s="20" t="s">
        <v>1152</v>
      </c>
      <c r="Q137" s="15"/>
      <c r="R137" s="21" t="s">
        <v>71</v>
      </c>
      <c r="S137" s="22"/>
      <c r="T137" s="23"/>
      <c r="U137" s="14" t="s">
        <v>1073</v>
      </c>
      <c r="V137" s="14" t="n">
        <v>35718236</v>
      </c>
    </row>
    <row r="138" customFormat="false" ht="39.75" hidden="false" customHeight="true" outlineLevel="0" collapsed="false">
      <c r="A138" s="24" t="s">
        <v>12</v>
      </c>
      <c r="B138" s="14" t="s">
        <v>1063</v>
      </c>
      <c r="C138" s="15" t="s">
        <v>1153</v>
      </c>
      <c r="D138" s="15" t="s">
        <v>715</v>
      </c>
      <c r="E138" s="16" t="s">
        <v>1154</v>
      </c>
      <c r="F138" s="14" t="s">
        <v>1067</v>
      </c>
      <c r="G138" s="14" t="s">
        <v>1155</v>
      </c>
      <c r="H138" s="15" t="s">
        <v>1156</v>
      </c>
      <c r="I138" s="15" t="s">
        <v>1157</v>
      </c>
      <c r="J138" s="15" t="s">
        <v>995</v>
      </c>
      <c r="K138" s="15" t="s">
        <v>67</v>
      </c>
      <c r="L138" s="17" t="n">
        <v>240</v>
      </c>
      <c r="M138" s="18" t="n">
        <v>152766000</v>
      </c>
      <c r="N138" s="19" t="n">
        <v>2005</v>
      </c>
      <c r="O138" s="15"/>
      <c r="P138" s="20" t="s">
        <v>1158</v>
      </c>
      <c r="Q138" s="15"/>
      <c r="R138" s="21" t="s">
        <v>71</v>
      </c>
      <c r="S138" s="22"/>
      <c r="T138" s="23"/>
      <c r="U138" s="14" t="s">
        <v>1073</v>
      </c>
      <c r="V138" s="14" t="n">
        <v>61228486</v>
      </c>
    </row>
    <row r="139" customFormat="false" ht="39.75" hidden="false" customHeight="true" outlineLevel="0" collapsed="false">
      <c r="A139" s="24" t="s">
        <v>12</v>
      </c>
      <c r="B139" s="14" t="s">
        <v>1063</v>
      </c>
      <c r="C139" s="15" t="s">
        <v>1159</v>
      </c>
      <c r="D139" s="15" t="s">
        <v>1160</v>
      </c>
      <c r="E139" s="16" t="s">
        <v>1161</v>
      </c>
      <c r="F139" s="14" t="s">
        <v>1067</v>
      </c>
      <c r="G139" s="14" t="s">
        <v>1162</v>
      </c>
      <c r="H139" s="15" t="s">
        <v>1163</v>
      </c>
      <c r="I139" s="15"/>
      <c r="J139" s="15" t="s">
        <v>963</v>
      </c>
      <c r="K139" s="15" t="s">
        <v>67</v>
      </c>
      <c r="L139" s="17" t="n">
        <v>154</v>
      </c>
      <c r="M139" s="18" t="n">
        <v>118746000</v>
      </c>
      <c r="N139" s="19" t="n">
        <v>1994</v>
      </c>
      <c r="O139" s="15"/>
      <c r="P139" s="20" t="s">
        <v>1164</v>
      </c>
      <c r="Q139" s="15" t="s">
        <v>1165</v>
      </c>
      <c r="R139" s="21" t="s">
        <v>71</v>
      </c>
      <c r="S139" s="22"/>
      <c r="T139" s="23"/>
      <c r="U139" s="14" t="s">
        <v>1082</v>
      </c>
      <c r="V139" s="14" t="n">
        <v>48595506</v>
      </c>
    </row>
    <row r="140" customFormat="false" ht="39.75" hidden="false" customHeight="true" outlineLevel="0" collapsed="false">
      <c r="A140" s="24" t="s">
        <v>12</v>
      </c>
      <c r="B140" s="14" t="s">
        <v>1063</v>
      </c>
      <c r="C140" s="15" t="s">
        <v>1166</v>
      </c>
      <c r="D140" s="15" t="s">
        <v>1167</v>
      </c>
      <c r="E140" s="16" t="s">
        <v>1168</v>
      </c>
      <c r="F140" s="14" t="s">
        <v>1067</v>
      </c>
      <c r="G140" s="14" t="s">
        <v>1169</v>
      </c>
      <c r="H140" s="15"/>
      <c r="I140" s="15" t="s">
        <v>1170</v>
      </c>
      <c r="J140" s="15" t="s">
        <v>995</v>
      </c>
      <c r="K140" s="15" t="s">
        <v>67</v>
      </c>
      <c r="L140" s="17" t="n">
        <v>137</v>
      </c>
      <c r="M140" s="18" t="n">
        <v>32565000</v>
      </c>
      <c r="N140" s="19" t="n">
        <v>1996</v>
      </c>
      <c r="O140" s="15"/>
      <c r="P140" s="20" t="s">
        <v>1171</v>
      </c>
      <c r="Q140" s="15"/>
      <c r="R140" s="21" t="s">
        <v>71</v>
      </c>
      <c r="S140" s="22"/>
      <c r="T140" s="23"/>
      <c r="U140" s="14" t="s">
        <v>1073</v>
      </c>
      <c r="V140" s="14" t="n">
        <v>57001788</v>
      </c>
    </row>
    <row r="141" customFormat="false" ht="39.75" hidden="false" customHeight="true" outlineLevel="0" collapsed="false">
      <c r="A141" s="24" t="s">
        <v>12</v>
      </c>
      <c r="B141" s="14" t="s">
        <v>1063</v>
      </c>
      <c r="C141" s="15" t="s">
        <v>1172</v>
      </c>
      <c r="D141" s="15" t="s">
        <v>1173</v>
      </c>
      <c r="E141" s="16" t="s">
        <v>1174</v>
      </c>
      <c r="F141" s="14" t="s">
        <v>1067</v>
      </c>
      <c r="G141" s="14" t="s">
        <v>1175</v>
      </c>
      <c r="H141" s="15" t="s">
        <v>1176</v>
      </c>
      <c r="I141" s="15" t="s">
        <v>1177</v>
      </c>
      <c r="J141" s="15" t="s">
        <v>963</v>
      </c>
      <c r="K141" s="15" t="s">
        <v>67</v>
      </c>
      <c r="L141" s="17" t="n">
        <v>110</v>
      </c>
      <c r="M141" s="18" t="n">
        <v>35924000</v>
      </c>
      <c r="N141" s="19" t="n">
        <v>2008</v>
      </c>
      <c r="O141" s="15"/>
      <c r="P141" s="20" t="s">
        <v>1178</v>
      </c>
      <c r="Q141" s="15"/>
      <c r="R141" s="21" t="s">
        <v>71</v>
      </c>
      <c r="S141" s="22"/>
      <c r="T141" s="23"/>
      <c r="U141" s="14" t="s">
        <v>1073</v>
      </c>
      <c r="V141" s="14" t="n">
        <v>345603103</v>
      </c>
    </row>
    <row r="142" customFormat="false" ht="39.75" hidden="false" customHeight="true" outlineLevel="0" collapsed="false">
      <c r="A142" s="24" t="s">
        <v>12</v>
      </c>
      <c r="B142" s="14" t="s">
        <v>1063</v>
      </c>
      <c r="C142" s="15" t="s">
        <v>1179</v>
      </c>
      <c r="D142" s="15" t="s">
        <v>1180</v>
      </c>
      <c r="E142" s="16" t="s">
        <v>1181</v>
      </c>
      <c r="F142" s="14" t="s">
        <v>1067</v>
      </c>
      <c r="G142" s="14" t="s">
        <v>1182</v>
      </c>
      <c r="H142" s="15"/>
      <c r="I142" s="15" t="s">
        <v>1183</v>
      </c>
      <c r="J142" s="15" t="s">
        <v>963</v>
      </c>
      <c r="K142" s="15" t="s">
        <v>67</v>
      </c>
      <c r="L142" s="17" t="n">
        <v>73</v>
      </c>
      <c r="M142" s="18" t="n">
        <v>17076000</v>
      </c>
      <c r="N142" s="19" t="n">
        <v>1997</v>
      </c>
      <c r="O142" s="15"/>
      <c r="P142" s="20" t="s">
        <v>1184</v>
      </c>
      <c r="Q142" s="15" t="s">
        <v>1185</v>
      </c>
      <c r="R142" s="21" t="s">
        <v>71</v>
      </c>
      <c r="S142" s="22"/>
      <c r="T142" s="23"/>
      <c r="U142" s="14" t="s">
        <v>1073</v>
      </c>
      <c r="V142" s="14" t="n">
        <v>36457934</v>
      </c>
    </row>
    <row r="143" customFormat="false" ht="39.75" hidden="false" customHeight="true" outlineLevel="0" collapsed="false">
      <c r="A143" s="25" t="s">
        <v>14</v>
      </c>
      <c r="B143" s="14" t="s">
        <v>1063</v>
      </c>
      <c r="C143" s="15" t="s">
        <v>1186</v>
      </c>
      <c r="D143" s="15" t="s">
        <v>1187</v>
      </c>
      <c r="E143" s="16" t="s">
        <v>1188</v>
      </c>
      <c r="F143" s="14" t="s">
        <v>1067</v>
      </c>
      <c r="G143" s="14" t="s">
        <v>1189</v>
      </c>
      <c r="H143" s="15" t="s">
        <v>1190</v>
      </c>
      <c r="I143" s="15"/>
      <c r="J143" s="15" t="s">
        <v>1089</v>
      </c>
      <c r="K143" s="15" t="s">
        <v>67</v>
      </c>
      <c r="L143" s="17" t="n">
        <v>1000</v>
      </c>
      <c r="M143" s="18" t="n">
        <v>934607000</v>
      </c>
      <c r="N143" s="19" t="n">
        <v>1988</v>
      </c>
      <c r="O143" s="15"/>
      <c r="P143" s="20" t="s">
        <v>1191</v>
      </c>
      <c r="Q143" s="15" t="s">
        <v>1192</v>
      </c>
      <c r="R143" s="21" t="s">
        <v>71</v>
      </c>
      <c r="S143" s="22"/>
      <c r="T143" s="23"/>
      <c r="U143" s="14" t="s">
        <v>1073</v>
      </c>
      <c r="V143" s="14" t="n">
        <v>5360015</v>
      </c>
    </row>
    <row r="144" customFormat="false" ht="39.75" hidden="false" customHeight="true" outlineLevel="0" collapsed="false">
      <c r="A144" s="25" t="s">
        <v>14</v>
      </c>
      <c r="B144" s="14" t="s">
        <v>1063</v>
      </c>
      <c r="C144" s="15" t="s">
        <v>1193</v>
      </c>
      <c r="D144" s="15" t="s">
        <v>1194</v>
      </c>
      <c r="E144" s="16" t="s">
        <v>1195</v>
      </c>
      <c r="F144" s="14" t="s">
        <v>1067</v>
      </c>
      <c r="G144" s="14" t="s">
        <v>1196</v>
      </c>
      <c r="H144" s="15" t="s">
        <v>1197</v>
      </c>
      <c r="I144" s="15" t="s">
        <v>1198</v>
      </c>
      <c r="J144" s="15" t="s">
        <v>963</v>
      </c>
      <c r="K144" s="15" t="s">
        <v>67</v>
      </c>
      <c r="L144" s="17" t="n">
        <v>900</v>
      </c>
      <c r="M144" s="18" t="n">
        <v>66686000</v>
      </c>
      <c r="N144" s="19" t="n">
        <v>1991</v>
      </c>
      <c r="O144" s="15"/>
      <c r="P144" s="20" t="s">
        <v>1199</v>
      </c>
      <c r="Q144" s="15" t="s">
        <v>1200</v>
      </c>
      <c r="R144" s="21" t="s">
        <v>71</v>
      </c>
      <c r="S144" s="22"/>
      <c r="T144" s="23"/>
      <c r="U144" s="14" t="s">
        <v>1073</v>
      </c>
      <c r="V144" s="14" t="n">
        <v>67355316</v>
      </c>
    </row>
    <row r="145" customFormat="false" ht="39.75" hidden="false" customHeight="true" outlineLevel="0" collapsed="false">
      <c r="A145" s="13" t="s">
        <v>10</v>
      </c>
      <c r="B145" s="14" t="s">
        <v>1201</v>
      </c>
      <c r="C145" s="15" t="s">
        <v>1202</v>
      </c>
      <c r="D145" s="15" t="s">
        <v>1203</v>
      </c>
      <c r="E145" s="16" t="s">
        <v>1204</v>
      </c>
      <c r="F145" s="14" t="s">
        <v>1205</v>
      </c>
      <c r="G145" s="14" t="s">
        <v>1206</v>
      </c>
      <c r="H145" s="15" t="s">
        <v>1207</v>
      </c>
      <c r="I145" s="15" t="s">
        <v>1208</v>
      </c>
      <c r="J145" s="15" t="s">
        <v>918</v>
      </c>
      <c r="K145" s="15" t="s">
        <v>67</v>
      </c>
      <c r="L145" s="17" t="n">
        <v>600</v>
      </c>
      <c r="M145" s="18" t="n">
        <v>33885000</v>
      </c>
      <c r="N145" s="19" t="n">
        <v>1971</v>
      </c>
      <c r="O145" s="15"/>
      <c r="P145" s="20" t="s">
        <v>1209</v>
      </c>
      <c r="Q145" s="15" t="s">
        <v>1210</v>
      </c>
      <c r="R145" s="21" t="s">
        <v>71</v>
      </c>
      <c r="S145" s="22"/>
      <c r="T145" s="23"/>
      <c r="U145" s="14" t="s">
        <v>1211</v>
      </c>
      <c r="V145" s="14" t="n">
        <v>22089378</v>
      </c>
    </row>
    <row r="146" customFormat="false" ht="39.75" hidden="false" customHeight="true" outlineLevel="0" collapsed="false">
      <c r="A146" s="13" t="s">
        <v>10</v>
      </c>
      <c r="B146" s="14" t="s">
        <v>1201</v>
      </c>
      <c r="C146" s="15" t="s">
        <v>1212</v>
      </c>
      <c r="D146" s="15" t="s">
        <v>1213</v>
      </c>
      <c r="E146" s="16" t="s">
        <v>1214</v>
      </c>
      <c r="F146" s="14" t="s">
        <v>1215</v>
      </c>
      <c r="G146" s="14" t="s">
        <v>1216</v>
      </c>
      <c r="H146" s="15"/>
      <c r="I146" s="15"/>
      <c r="J146" s="15" t="s">
        <v>963</v>
      </c>
      <c r="K146" s="15" t="s">
        <v>67</v>
      </c>
      <c r="L146" s="17" t="n">
        <v>502</v>
      </c>
      <c r="M146" s="18" t="n">
        <v>33533000</v>
      </c>
      <c r="N146" s="19" t="n">
        <v>1949</v>
      </c>
      <c r="O146" s="15"/>
      <c r="P146" s="20" t="s">
        <v>1217</v>
      </c>
      <c r="Q146" s="15" t="s">
        <v>1218</v>
      </c>
      <c r="R146" s="21" t="s">
        <v>71</v>
      </c>
      <c r="S146" s="22"/>
      <c r="T146" s="23"/>
      <c r="U146" s="14" t="s">
        <v>1219</v>
      </c>
      <c r="V146" s="14" t="n">
        <v>43045537</v>
      </c>
    </row>
    <row r="147" customFormat="false" ht="39.75" hidden="false" customHeight="true" outlineLevel="0" collapsed="false">
      <c r="A147" s="13" t="s">
        <v>10</v>
      </c>
      <c r="B147" s="14" t="s">
        <v>1201</v>
      </c>
      <c r="C147" s="15" t="s">
        <v>1220</v>
      </c>
      <c r="D147" s="15" t="s">
        <v>1221</v>
      </c>
      <c r="E147" s="16" t="s">
        <v>1222</v>
      </c>
      <c r="F147" s="14" t="s">
        <v>1205</v>
      </c>
      <c r="G147" s="14" t="s">
        <v>1223</v>
      </c>
      <c r="H147" s="15"/>
      <c r="I147" s="15"/>
      <c r="J147" s="15" t="s">
        <v>918</v>
      </c>
      <c r="K147" s="15" t="s">
        <v>67</v>
      </c>
      <c r="L147" s="17" t="n">
        <v>171</v>
      </c>
      <c r="M147" s="18" t="n">
        <v>48765000</v>
      </c>
      <c r="N147" s="19" t="n">
        <v>1991</v>
      </c>
      <c r="O147" s="15"/>
      <c r="P147" s="20" t="s">
        <v>1224</v>
      </c>
      <c r="Q147" s="15" t="s">
        <v>1225</v>
      </c>
      <c r="R147" s="21" t="s">
        <v>71</v>
      </c>
      <c r="S147" s="22"/>
      <c r="T147" s="23"/>
      <c r="U147" s="14" t="s">
        <v>1211</v>
      </c>
      <c r="V147" s="14" t="n">
        <v>11442642</v>
      </c>
    </row>
    <row r="148" customFormat="false" ht="39.75" hidden="false" customHeight="true" outlineLevel="0" collapsed="false">
      <c r="A148" s="13" t="s">
        <v>10</v>
      </c>
      <c r="B148" s="14" t="s">
        <v>1201</v>
      </c>
      <c r="C148" s="15" t="s">
        <v>1226</v>
      </c>
      <c r="D148" s="15" t="s">
        <v>1227</v>
      </c>
      <c r="E148" s="16" t="s">
        <v>1228</v>
      </c>
      <c r="F148" s="14" t="s">
        <v>1229</v>
      </c>
      <c r="G148" s="14" t="s">
        <v>1230</v>
      </c>
      <c r="H148" s="15"/>
      <c r="I148" s="15" t="s">
        <v>1231</v>
      </c>
      <c r="J148" s="15" t="s">
        <v>918</v>
      </c>
      <c r="K148" s="15" t="s">
        <v>67</v>
      </c>
      <c r="L148" s="17" t="n">
        <v>161</v>
      </c>
      <c r="M148" s="18" t="n">
        <v>26238000</v>
      </c>
      <c r="N148" s="19" t="n">
        <v>1979</v>
      </c>
      <c r="O148" s="15"/>
      <c r="P148" s="20" t="s">
        <v>1232</v>
      </c>
      <c r="Q148" s="15" t="s">
        <v>1233</v>
      </c>
      <c r="R148" s="21" t="s">
        <v>71</v>
      </c>
      <c r="S148" s="22"/>
      <c r="T148" s="23"/>
      <c r="U148" s="14" t="s">
        <v>1234</v>
      </c>
      <c r="V148" s="14" t="n">
        <v>67520122</v>
      </c>
    </row>
    <row r="149" customFormat="false" ht="39.75" hidden="false" customHeight="true" outlineLevel="0" collapsed="false">
      <c r="A149" s="13" t="s">
        <v>10</v>
      </c>
      <c r="B149" s="14" t="s">
        <v>1201</v>
      </c>
      <c r="C149" s="15" t="s">
        <v>1235</v>
      </c>
      <c r="D149" s="15" t="s">
        <v>1236</v>
      </c>
      <c r="E149" s="16" t="s">
        <v>1237</v>
      </c>
      <c r="F149" s="14" t="s">
        <v>1205</v>
      </c>
      <c r="G149" s="14" t="s">
        <v>1238</v>
      </c>
      <c r="H149" s="15" t="s">
        <v>1239</v>
      </c>
      <c r="I149" s="15"/>
      <c r="J149" s="15" t="s">
        <v>918</v>
      </c>
      <c r="K149" s="15" t="s">
        <v>67</v>
      </c>
      <c r="L149" s="17" t="n">
        <v>120</v>
      </c>
      <c r="M149" s="18" t="n">
        <v>9639000</v>
      </c>
      <c r="N149" s="19" t="n">
        <v>1991</v>
      </c>
      <c r="O149" s="15" t="s">
        <v>1240</v>
      </c>
      <c r="P149" s="20" t="s">
        <v>1241</v>
      </c>
      <c r="Q149" s="15" t="s">
        <v>1242</v>
      </c>
      <c r="R149" s="21" t="s">
        <v>71</v>
      </c>
      <c r="S149" s="22"/>
      <c r="T149" s="23"/>
      <c r="U149" s="14" t="s">
        <v>1211</v>
      </c>
      <c r="V149" s="14" t="n">
        <v>126091458</v>
      </c>
    </row>
    <row r="150" customFormat="false" ht="39.75" hidden="false" customHeight="true" outlineLevel="0" collapsed="false">
      <c r="A150" s="13" t="s">
        <v>10</v>
      </c>
      <c r="B150" s="14" t="s">
        <v>1201</v>
      </c>
      <c r="C150" s="15" t="s">
        <v>1243</v>
      </c>
      <c r="D150" s="15" t="s">
        <v>975</v>
      </c>
      <c r="E150" s="16" t="s">
        <v>1244</v>
      </c>
      <c r="F150" s="14" t="s">
        <v>1205</v>
      </c>
      <c r="G150" s="14" t="s">
        <v>1245</v>
      </c>
      <c r="H150" s="15"/>
      <c r="I150" s="15" t="s">
        <v>1246</v>
      </c>
      <c r="J150" s="15" t="s">
        <v>937</v>
      </c>
      <c r="K150" s="15" t="s">
        <v>67</v>
      </c>
      <c r="L150" s="17" t="n">
        <v>71</v>
      </c>
      <c r="M150" s="18" t="n">
        <v>6265000</v>
      </c>
      <c r="N150" s="19" t="n">
        <v>1981</v>
      </c>
      <c r="O150" s="15"/>
      <c r="P150" s="20" t="s">
        <v>1247</v>
      </c>
      <c r="Q150" s="15"/>
      <c r="R150" s="21" t="s">
        <v>71</v>
      </c>
      <c r="S150" s="22"/>
      <c r="T150" s="23"/>
      <c r="U150" s="14" t="s">
        <v>1211</v>
      </c>
      <c r="V150" s="14" t="n">
        <v>353633068</v>
      </c>
    </row>
    <row r="151" customFormat="false" ht="39.75" hidden="false" customHeight="true" outlineLevel="0" collapsed="false">
      <c r="A151" s="24" t="s">
        <v>12</v>
      </c>
      <c r="B151" s="14" t="s">
        <v>1201</v>
      </c>
      <c r="C151" s="15" t="s">
        <v>1248</v>
      </c>
      <c r="D151" s="15" t="s">
        <v>1249</v>
      </c>
      <c r="E151" s="16" t="s">
        <v>1250</v>
      </c>
      <c r="F151" s="14" t="s">
        <v>1205</v>
      </c>
      <c r="G151" s="14" t="s">
        <v>1251</v>
      </c>
      <c r="H151" s="15"/>
      <c r="I151" s="15"/>
      <c r="J151" s="15" t="s">
        <v>918</v>
      </c>
      <c r="K151" s="15" t="s">
        <v>67</v>
      </c>
      <c r="L151" s="17" t="n">
        <v>782</v>
      </c>
      <c r="M151" s="18" t="n">
        <v>170709000</v>
      </c>
      <c r="N151" s="19" t="n">
        <v>1964</v>
      </c>
      <c r="O151" s="15"/>
      <c r="P151" s="20" t="s">
        <v>1252</v>
      </c>
      <c r="Q151" s="15" t="s">
        <v>1253</v>
      </c>
      <c r="R151" s="21" t="s">
        <v>71</v>
      </c>
      <c r="S151" s="22"/>
      <c r="T151" s="23"/>
      <c r="U151" s="14" t="s">
        <v>1211</v>
      </c>
      <c r="V151" s="14" t="n">
        <v>37667487</v>
      </c>
    </row>
    <row r="152" customFormat="false" ht="39.75" hidden="false" customHeight="true" outlineLevel="0" collapsed="false">
      <c r="A152" s="24" t="s">
        <v>12</v>
      </c>
      <c r="B152" s="14" t="s">
        <v>1201</v>
      </c>
      <c r="C152" s="15" t="s">
        <v>1254</v>
      </c>
      <c r="D152" s="15" t="s">
        <v>1255</v>
      </c>
      <c r="E152" s="16" t="s">
        <v>1256</v>
      </c>
      <c r="F152" s="14" t="s">
        <v>1205</v>
      </c>
      <c r="G152" s="14" t="s">
        <v>1257</v>
      </c>
      <c r="H152" s="15" t="s">
        <v>1258</v>
      </c>
      <c r="I152" s="15" t="s">
        <v>1259</v>
      </c>
      <c r="J152" s="15" t="s">
        <v>963</v>
      </c>
      <c r="K152" s="15" t="s">
        <v>67</v>
      </c>
      <c r="L152" s="17" t="n">
        <v>411</v>
      </c>
      <c r="M152" s="18" t="n">
        <v>46050000</v>
      </c>
      <c r="N152" s="19" t="n">
        <v>1999</v>
      </c>
      <c r="O152" s="15"/>
      <c r="P152" s="20" t="s">
        <v>1260</v>
      </c>
      <c r="Q152" s="15" t="s">
        <v>1261</v>
      </c>
      <c r="R152" s="21" t="s">
        <v>71</v>
      </c>
      <c r="S152" s="22"/>
      <c r="T152" s="23"/>
      <c r="U152" s="14" t="s">
        <v>1211</v>
      </c>
      <c r="V152" s="14" t="n">
        <v>451065368</v>
      </c>
    </row>
    <row r="153" customFormat="false" ht="39.75" hidden="false" customHeight="true" outlineLevel="0" collapsed="false">
      <c r="A153" s="24" t="s">
        <v>12</v>
      </c>
      <c r="B153" s="14" t="s">
        <v>1201</v>
      </c>
      <c r="C153" s="15" t="s">
        <v>1262</v>
      </c>
      <c r="D153" s="15" t="s">
        <v>1263</v>
      </c>
      <c r="E153" s="16" t="s">
        <v>1264</v>
      </c>
      <c r="F153" s="14" t="s">
        <v>1215</v>
      </c>
      <c r="G153" s="14" t="s">
        <v>1265</v>
      </c>
      <c r="H153" s="15" t="s">
        <v>1266</v>
      </c>
      <c r="I153" s="15" t="s">
        <v>1267</v>
      </c>
      <c r="J153" s="15" t="s">
        <v>963</v>
      </c>
      <c r="K153" s="15" t="s">
        <v>67</v>
      </c>
      <c r="L153" s="17" t="n">
        <v>297</v>
      </c>
      <c r="M153" s="18" t="n">
        <v>29010000</v>
      </c>
      <c r="N153" s="19" t="n">
        <v>1977</v>
      </c>
      <c r="O153" s="15"/>
      <c r="P153" s="20" t="s">
        <v>1268</v>
      </c>
      <c r="Q153" s="15" t="s">
        <v>1269</v>
      </c>
      <c r="R153" s="21" t="s">
        <v>71</v>
      </c>
      <c r="S153" s="22"/>
      <c r="T153" s="23"/>
      <c r="U153" s="14" t="s">
        <v>1219</v>
      </c>
      <c r="V153" s="14" t="n">
        <v>119881895</v>
      </c>
    </row>
    <row r="154" customFormat="false" ht="39.75" hidden="false" customHeight="true" outlineLevel="0" collapsed="false">
      <c r="A154" s="24" t="s">
        <v>12</v>
      </c>
      <c r="B154" s="14" t="s">
        <v>1201</v>
      </c>
      <c r="C154" s="15" t="s">
        <v>1270</v>
      </c>
      <c r="D154" s="15" t="s">
        <v>1271</v>
      </c>
      <c r="E154" s="16" t="s">
        <v>1272</v>
      </c>
      <c r="F154" s="14" t="s">
        <v>1229</v>
      </c>
      <c r="G154" s="14" t="s">
        <v>1273</v>
      </c>
      <c r="H154" s="15" t="s">
        <v>1274</v>
      </c>
      <c r="I154" s="15" t="s">
        <v>1275</v>
      </c>
      <c r="J154" s="15" t="s">
        <v>995</v>
      </c>
      <c r="K154" s="15" t="s">
        <v>67</v>
      </c>
      <c r="L154" s="17" t="n">
        <v>264</v>
      </c>
      <c r="M154" s="18" t="n">
        <v>76326000</v>
      </c>
      <c r="N154" s="19" t="n">
        <v>1991</v>
      </c>
      <c r="O154" s="15"/>
      <c r="P154" s="20" t="s">
        <v>1276</v>
      </c>
      <c r="Q154" s="15"/>
      <c r="R154" s="21" t="s">
        <v>71</v>
      </c>
      <c r="S154" s="22"/>
      <c r="T154" s="23"/>
      <c r="U154" s="14" t="s">
        <v>1234</v>
      </c>
      <c r="V154" s="14" t="n">
        <v>21381606</v>
      </c>
    </row>
    <row r="155" customFormat="false" ht="39.75" hidden="false" customHeight="true" outlineLevel="0" collapsed="false">
      <c r="A155" s="24" t="s">
        <v>12</v>
      </c>
      <c r="B155" s="14" t="s">
        <v>1201</v>
      </c>
      <c r="C155" s="15" t="s">
        <v>1277</v>
      </c>
      <c r="D155" s="15" t="s">
        <v>1278</v>
      </c>
      <c r="E155" s="16" t="s">
        <v>1279</v>
      </c>
      <c r="F155" s="14" t="s">
        <v>1229</v>
      </c>
      <c r="G155" s="14" t="s">
        <v>1280</v>
      </c>
      <c r="H155" s="15" t="s">
        <v>1281</v>
      </c>
      <c r="I155" s="15" t="s">
        <v>1282</v>
      </c>
      <c r="J155" s="15" t="s">
        <v>1283</v>
      </c>
      <c r="K155" s="15" t="s">
        <v>67</v>
      </c>
      <c r="L155" s="17" t="n">
        <v>254</v>
      </c>
      <c r="M155" s="18" t="n">
        <v>39129000</v>
      </c>
      <c r="N155" s="19" t="n">
        <v>1988</v>
      </c>
      <c r="O155" s="15"/>
      <c r="P155" s="20" t="s">
        <v>1284</v>
      </c>
      <c r="Q155" s="15"/>
      <c r="R155" s="21" t="s">
        <v>71</v>
      </c>
      <c r="S155" s="22"/>
      <c r="T155" s="23"/>
      <c r="U155" s="14" t="s">
        <v>1234</v>
      </c>
      <c r="V155" s="14" t="n">
        <v>32686648</v>
      </c>
    </row>
    <row r="156" customFormat="false" ht="39.75" hidden="false" customHeight="true" outlineLevel="0" collapsed="false">
      <c r="A156" s="24" t="s">
        <v>12</v>
      </c>
      <c r="B156" s="14" t="s">
        <v>1201</v>
      </c>
      <c r="C156" s="15" t="s">
        <v>1285</v>
      </c>
      <c r="D156" s="15" t="s">
        <v>1278</v>
      </c>
      <c r="E156" s="16" t="s">
        <v>1286</v>
      </c>
      <c r="F156" s="14" t="s">
        <v>1205</v>
      </c>
      <c r="G156" s="14" t="s">
        <v>1287</v>
      </c>
      <c r="H156" s="15"/>
      <c r="I156" s="15"/>
      <c r="J156" s="15" t="s">
        <v>1283</v>
      </c>
      <c r="K156" s="15" t="s">
        <v>67</v>
      </c>
      <c r="L156" s="17" t="n">
        <v>197</v>
      </c>
      <c r="M156" s="18" t="n">
        <v>22904000</v>
      </c>
      <c r="N156" s="19" t="n">
        <v>1983</v>
      </c>
      <c r="O156" s="15"/>
      <c r="P156" s="20" t="s">
        <v>1288</v>
      </c>
      <c r="Q156" s="15"/>
      <c r="R156" s="21" t="s">
        <v>71</v>
      </c>
      <c r="S156" s="22"/>
      <c r="T156" s="23"/>
      <c r="U156" s="14" t="s">
        <v>1211</v>
      </c>
      <c r="V156" s="14" t="n">
        <v>53088452</v>
      </c>
    </row>
    <row r="157" customFormat="false" ht="39.75" hidden="false" customHeight="true" outlineLevel="0" collapsed="false">
      <c r="A157" s="24" t="s">
        <v>12</v>
      </c>
      <c r="B157" s="14" t="s">
        <v>1201</v>
      </c>
      <c r="C157" s="15" t="s">
        <v>1289</v>
      </c>
      <c r="D157" s="15" t="s">
        <v>1290</v>
      </c>
      <c r="E157" s="16" t="s">
        <v>1291</v>
      </c>
      <c r="F157" s="14" t="s">
        <v>1229</v>
      </c>
      <c r="G157" s="14" t="s">
        <v>1292</v>
      </c>
      <c r="H157" s="15"/>
      <c r="I157" s="15" t="s">
        <v>1293</v>
      </c>
      <c r="J157" s="15" t="s">
        <v>963</v>
      </c>
      <c r="K157" s="15" t="s">
        <v>67</v>
      </c>
      <c r="L157" s="17" t="n">
        <v>128</v>
      </c>
      <c r="M157" s="18" t="n">
        <v>9738000</v>
      </c>
      <c r="N157" s="19" t="n">
        <v>1960</v>
      </c>
      <c r="O157" s="15"/>
      <c r="P157" s="20" t="s">
        <v>1294</v>
      </c>
      <c r="Q157" s="15"/>
      <c r="R157" s="21" t="s">
        <v>71</v>
      </c>
      <c r="S157" s="22"/>
      <c r="T157" s="23"/>
      <c r="U157" s="14" t="s">
        <v>1234</v>
      </c>
      <c r="V157" s="14" t="n">
        <v>58998985</v>
      </c>
    </row>
    <row r="158" customFormat="false" ht="39.75" hidden="false" customHeight="true" outlineLevel="0" collapsed="false">
      <c r="A158" s="24" t="s">
        <v>12</v>
      </c>
      <c r="B158" s="14" t="s">
        <v>1201</v>
      </c>
      <c r="C158" s="15" t="s">
        <v>1295</v>
      </c>
      <c r="D158" s="15" t="s">
        <v>1296</v>
      </c>
      <c r="E158" s="16" t="s">
        <v>1297</v>
      </c>
      <c r="F158" s="14" t="s">
        <v>1205</v>
      </c>
      <c r="G158" s="14" t="s">
        <v>1298</v>
      </c>
      <c r="H158" s="15"/>
      <c r="I158" s="15" t="s">
        <v>1299</v>
      </c>
      <c r="J158" s="15" t="s">
        <v>963</v>
      </c>
      <c r="K158" s="15" t="s">
        <v>67</v>
      </c>
      <c r="L158" s="17" t="n">
        <v>101</v>
      </c>
      <c r="M158" s="18" t="n">
        <v>15084000</v>
      </c>
      <c r="N158" s="19" t="n">
        <v>2010</v>
      </c>
      <c r="O158" s="15"/>
      <c r="P158" s="20" t="s">
        <v>1300</v>
      </c>
      <c r="Q158" s="15"/>
      <c r="R158" s="21" t="s">
        <v>71</v>
      </c>
      <c r="S158" s="22"/>
      <c r="T158" s="23"/>
      <c r="U158" s="14" t="s">
        <v>1211</v>
      </c>
      <c r="V158" s="14"/>
    </row>
    <row r="159" customFormat="false" ht="39.75" hidden="false" customHeight="true" outlineLevel="0" collapsed="false">
      <c r="A159" s="24" t="s">
        <v>12</v>
      </c>
      <c r="B159" s="14" t="s">
        <v>1201</v>
      </c>
      <c r="C159" s="15" t="s">
        <v>1301</v>
      </c>
      <c r="D159" s="15" t="s">
        <v>1302</v>
      </c>
      <c r="E159" s="16" t="s">
        <v>1303</v>
      </c>
      <c r="F159" s="14" t="s">
        <v>1229</v>
      </c>
      <c r="G159" s="14" t="s">
        <v>1304</v>
      </c>
      <c r="H159" s="15" t="s">
        <v>1305</v>
      </c>
      <c r="I159" s="15" t="s">
        <v>1306</v>
      </c>
      <c r="J159" s="15" t="s">
        <v>963</v>
      </c>
      <c r="K159" s="15" t="s">
        <v>67</v>
      </c>
      <c r="L159" s="17" t="n">
        <v>95</v>
      </c>
      <c r="M159" s="18" t="n">
        <v>33772000</v>
      </c>
      <c r="N159" s="19" t="n">
        <v>1974</v>
      </c>
      <c r="O159" s="15"/>
      <c r="P159" s="20" t="s">
        <v>1307</v>
      </c>
      <c r="Q159" s="15" t="s">
        <v>1308</v>
      </c>
      <c r="R159" s="21" t="s">
        <v>71</v>
      </c>
      <c r="S159" s="22"/>
      <c r="T159" s="23"/>
      <c r="U159" s="14" t="s">
        <v>1234</v>
      </c>
      <c r="V159" s="14" t="n">
        <v>58461035</v>
      </c>
    </row>
    <row r="160" customFormat="false" ht="39.75" hidden="false" customHeight="true" outlineLevel="0" collapsed="false">
      <c r="A160" s="25" t="s">
        <v>14</v>
      </c>
      <c r="B160" s="14" t="s">
        <v>1201</v>
      </c>
      <c r="C160" s="15" t="s">
        <v>1309</v>
      </c>
      <c r="D160" s="15" t="s">
        <v>1310</v>
      </c>
      <c r="E160" s="16" t="s">
        <v>1311</v>
      </c>
      <c r="F160" s="14" t="s">
        <v>1312</v>
      </c>
      <c r="G160" s="14" t="s">
        <v>1313</v>
      </c>
      <c r="H160" s="15" t="s">
        <v>1314</v>
      </c>
      <c r="I160" s="15"/>
      <c r="J160" s="15" t="s">
        <v>1053</v>
      </c>
      <c r="K160" s="15" t="s">
        <v>67</v>
      </c>
      <c r="L160" s="17" t="n">
        <v>2000</v>
      </c>
      <c r="M160" s="18" t="n">
        <v>653153000</v>
      </c>
      <c r="N160" s="19" t="n">
        <v>1898</v>
      </c>
      <c r="O160" s="15"/>
      <c r="P160" s="20" t="s">
        <v>1315</v>
      </c>
      <c r="Q160" s="15" t="s">
        <v>1316</v>
      </c>
      <c r="R160" s="21" t="s">
        <v>71</v>
      </c>
      <c r="S160" s="22"/>
      <c r="T160" s="23"/>
      <c r="U160" s="14" t="s">
        <v>1317</v>
      </c>
      <c r="V160" s="14" t="n">
        <v>373276335</v>
      </c>
    </row>
    <row r="161" customFormat="false" ht="39.75" hidden="false" customHeight="true" outlineLevel="0" collapsed="false">
      <c r="A161" s="25" t="s">
        <v>14</v>
      </c>
      <c r="B161" s="14" t="s">
        <v>1201</v>
      </c>
      <c r="C161" s="15" t="s">
        <v>1318</v>
      </c>
      <c r="D161" s="15" t="s">
        <v>1319</v>
      </c>
      <c r="E161" s="16" t="s">
        <v>1320</v>
      </c>
      <c r="F161" s="14" t="s">
        <v>1205</v>
      </c>
      <c r="G161" s="14" t="s">
        <v>1321</v>
      </c>
      <c r="H161" s="15" t="s">
        <v>1322</v>
      </c>
      <c r="I161" s="15" t="s">
        <v>1323</v>
      </c>
      <c r="J161" s="15" t="s">
        <v>963</v>
      </c>
      <c r="K161" s="15" t="s">
        <v>67</v>
      </c>
      <c r="L161" s="17" t="n">
        <v>318</v>
      </c>
      <c r="M161" s="18" t="n">
        <v>67134000</v>
      </c>
      <c r="N161" s="19" t="n">
        <v>1999</v>
      </c>
      <c r="O161" s="15" t="s">
        <v>1324</v>
      </c>
      <c r="P161" s="20" t="s">
        <v>1325</v>
      </c>
      <c r="Q161" s="15" t="s">
        <v>1326</v>
      </c>
      <c r="R161" s="21" t="s">
        <v>71</v>
      </c>
      <c r="S161" s="22"/>
      <c r="T161" s="23"/>
      <c r="U161" s="14" t="s">
        <v>1211</v>
      </c>
      <c r="V161" s="14"/>
    </row>
    <row r="162" customFormat="false" ht="39.75" hidden="false" customHeight="true" outlineLevel="0" collapsed="false">
      <c r="A162" s="25" t="s">
        <v>14</v>
      </c>
      <c r="B162" s="14" t="s">
        <v>1201</v>
      </c>
      <c r="C162" s="15" t="s">
        <v>1327</v>
      </c>
      <c r="D162" s="15" t="s">
        <v>1328</v>
      </c>
      <c r="E162" s="16" t="s">
        <v>1329</v>
      </c>
      <c r="F162" s="14" t="s">
        <v>1205</v>
      </c>
      <c r="G162" s="14" t="s">
        <v>1330</v>
      </c>
      <c r="H162" s="15"/>
      <c r="I162" s="15"/>
      <c r="J162" s="15" t="s">
        <v>963</v>
      </c>
      <c r="K162" s="15" t="s">
        <v>67</v>
      </c>
      <c r="L162" s="17" t="n">
        <v>84</v>
      </c>
      <c r="M162" s="18" t="n">
        <v>33116000</v>
      </c>
      <c r="N162" s="19" t="n">
        <v>1993</v>
      </c>
      <c r="O162" s="15" t="s">
        <v>1331</v>
      </c>
      <c r="P162" s="20" t="s">
        <v>1332</v>
      </c>
      <c r="Q162" s="15" t="s">
        <v>1333</v>
      </c>
      <c r="R162" s="21" t="s">
        <v>71</v>
      </c>
      <c r="S162" s="22"/>
      <c r="T162" s="23"/>
      <c r="U162" s="14" t="s">
        <v>1211</v>
      </c>
      <c r="V162" s="14" t="n">
        <v>39897025</v>
      </c>
    </row>
    <row r="163" customFormat="false" ht="39.75" hidden="false" customHeight="true" outlineLevel="0" collapsed="false">
      <c r="A163" s="13" t="s">
        <v>10</v>
      </c>
      <c r="B163" s="14" t="s">
        <v>1334</v>
      </c>
      <c r="C163" s="15" t="s">
        <v>1335</v>
      </c>
      <c r="D163" s="15" t="s">
        <v>1336</v>
      </c>
      <c r="E163" s="16" t="s">
        <v>1337</v>
      </c>
      <c r="F163" s="14" t="s">
        <v>1338</v>
      </c>
      <c r="G163" s="14" t="s">
        <v>1339</v>
      </c>
      <c r="H163" s="15" t="s">
        <v>1340</v>
      </c>
      <c r="I163" s="15" t="s">
        <v>1341</v>
      </c>
      <c r="J163" s="15" t="s">
        <v>918</v>
      </c>
      <c r="K163" s="15" t="s">
        <v>67</v>
      </c>
      <c r="L163" s="17" t="n">
        <v>200</v>
      </c>
      <c r="M163" s="18" t="n">
        <v>54315000</v>
      </c>
      <c r="N163" s="19" t="n">
        <v>2008</v>
      </c>
      <c r="O163" s="15"/>
      <c r="P163" s="20" t="s">
        <v>1342</v>
      </c>
      <c r="Q163" s="15" t="s">
        <v>1343</v>
      </c>
      <c r="R163" s="21" t="s">
        <v>71</v>
      </c>
      <c r="S163" s="22"/>
      <c r="T163" s="23"/>
      <c r="U163" s="14" t="s">
        <v>1344</v>
      </c>
      <c r="V163" s="14" t="n">
        <v>18859551</v>
      </c>
    </row>
    <row r="164" customFormat="false" ht="39.75" hidden="false" customHeight="true" outlineLevel="0" collapsed="false">
      <c r="A164" s="13" t="s">
        <v>10</v>
      </c>
      <c r="B164" s="14" t="s">
        <v>1334</v>
      </c>
      <c r="C164" s="15" t="s">
        <v>1345</v>
      </c>
      <c r="D164" s="15" t="s">
        <v>1346</v>
      </c>
      <c r="E164" s="16" t="s">
        <v>1347</v>
      </c>
      <c r="F164" s="14" t="s">
        <v>1348</v>
      </c>
      <c r="G164" s="14" t="s">
        <v>1349</v>
      </c>
      <c r="H164" s="15" t="s">
        <v>1350</v>
      </c>
      <c r="I164" s="15" t="s">
        <v>1351</v>
      </c>
      <c r="J164" s="15" t="s">
        <v>908</v>
      </c>
      <c r="K164" s="15" t="s">
        <v>67</v>
      </c>
      <c r="L164" s="17" t="n">
        <v>195</v>
      </c>
      <c r="M164" s="18" t="n">
        <v>86580000</v>
      </c>
      <c r="N164" s="19" t="n">
        <v>1864</v>
      </c>
      <c r="O164" s="15"/>
      <c r="P164" s="20" t="s">
        <v>1352</v>
      </c>
      <c r="Q164" s="15"/>
      <c r="R164" s="21" t="s">
        <v>71</v>
      </c>
      <c r="S164" s="22"/>
      <c r="T164" s="23"/>
      <c r="U164" s="14" t="s">
        <v>1353</v>
      </c>
      <c r="V164" s="14" t="n">
        <v>82150842</v>
      </c>
    </row>
    <row r="165" customFormat="false" ht="39.75" hidden="false" customHeight="true" outlineLevel="0" collapsed="false">
      <c r="A165" s="13" t="s">
        <v>10</v>
      </c>
      <c r="B165" s="14" t="s">
        <v>1334</v>
      </c>
      <c r="C165" s="15" t="s">
        <v>1354</v>
      </c>
      <c r="D165" s="15" t="s">
        <v>1355</v>
      </c>
      <c r="E165" s="16" t="s">
        <v>1356</v>
      </c>
      <c r="F165" s="14" t="s">
        <v>1357</v>
      </c>
      <c r="G165" s="14" t="s">
        <v>1358</v>
      </c>
      <c r="H165" s="15" t="s">
        <v>1359</v>
      </c>
      <c r="I165" s="15" t="s">
        <v>1360</v>
      </c>
      <c r="J165" s="15" t="s">
        <v>918</v>
      </c>
      <c r="K165" s="15" t="s">
        <v>67</v>
      </c>
      <c r="L165" s="17" t="n">
        <v>152</v>
      </c>
      <c r="M165" s="18" t="n">
        <v>161922000</v>
      </c>
      <c r="N165" s="19" t="n">
        <v>1968</v>
      </c>
      <c r="O165" s="15" t="s">
        <v>1361</v>
      </c>
      <c r="P165" s="20" t="s">
        <v>1362</v>
      </c>
      <c r="Q165" s="15" t="s">
        <v>1363</v>
      </c>
      <c r="R165" s="21" t="s">
        <v>71</v>
      </c>
      <c r="S165" s="22"/>
      <c r="T165" s="23"/>
      <c r="U165" s="14" t="s">
        <v>1364</v>
      </c>
      <c r="V165" s="14" t="n">
        <v>25808706</v>
      </c>
    </row>
    <row r="166" customFormat="false" ht="39.75" hidden="false" customHeight="true" outlineLevel="0" collapsed="false">
      <c r="A166" s="13" t="s">
        <v>10</v>
      </c>
      <c r="B166" s="14" t="s">
        <v>1334</v>
      </c>
      <c r="C166" s="15" t="s">
        <v>1365</v>
      </c>
      <c r="D166" s="15" t="s">
        <v>1366</v>
      </c>
      <c r="E166" s="16" t="s">
        <v>1367</v>
      </c>
      <c r="F166" s="14" t="s">
        <v>1338</v>
      </c>
      <c r="G166" s="14" t="s">
        <v>1368</v>
      </c>
      <c r="H166" s="15" t="s">
        <v>1369</v>
      </c>
      <c r="I166" s="15"/>
      <c r="J166" s="15" t="s">
        <v>918</v>
      </c>
      <c r="K166" s="15" t="s">
        <v>67</v>
      </c>
      <c r="L166" s="17" t="n">
        <v>140</v>
      </c>
      <c r="M166" s="18" t="n">
        <v>29369000</v>
      </c>
      <c r="N166" s="19" t="n">
        <v>1980</v>
      </c>
      <c r="O166" s="15"/>
      <c r="P166" s="20" t="s">
        <v>1370</v>
      </c>
      <c r="Q166" s="15" t="s">
        <v>1371</v>
      </c>
      <c r="R166" s="21" t="s">
        <v>71</v>
      </c>
      <c r="S166" s="22"/>
      <c r="T166" s="23"/>
      <c r="U166" s="14" t="s">
        <v>1344</v>
      </c>
      <c r="V166" s="14" t="n">
        <v>86705017</v>
      </c>
    </row>
    <row r="167" customFormat="false" ht="39.75" hidden="false" customHeight="true" outlineLevel="0" collapsed="false">
      <c r="A167" s="13" t="s">
        <v>10</v>
      </c>
      <c r="B167" s="14" t="s">
        <v>1334</v>
      </c>
      <c r="C167" s="15" t="s">
        <v>1372</v>
      </c>
      <c r="D167" s="15" t="s">
        <v>1373</v>
      </c>
      <c r="E167" s="16" t="s">
        <v>1374</v>
      </c>
      <c r="F167" s="14" t="s">
        <v>1348</v>
      </c>
      <c r="G167" s="14" t="s">
        <v>1375</v>
      </c>
      <c r="H167" s="15" t="s">
        <v>1376</v>
      </c>
      <c r="I167" s="15" t="s">
        <v>1377</v>
      </c>
      <c r="J167" s="15" t="s">
        <v>918</v>
      </c>
      <c r="K167" s="15" t="s">
        <v>67</v>
      </c>
      <c r="L167" s="17" t="n">
        <v>125</v>
      </c>
      <c r="M167" s="18" t="n">
        <v>28647000</v>
      </c>
      <c r="N167" s="19" t="n">
        <v>1973</v>
      </c>
      <c r="O167" s="15"/>
      <c r="P167" s="20" t="s">
        <v>1378</v>
      </c>
      <c r="Q167" s="15" t="s">
        <v>1379</v>
      </c>
      <c r="R167" s="21" t="s">
        <v>71</v>
      </c>
      <c r="S167" s="22"/>
      <c r="T167" s="23"/>
      <c r="U167" s="14" t="s">
        <v>1353</v>
      </c>
      <c r="V167" s="14" t="n">
        <v>92259395</v>
      </c>
    </row>
    <row r="168" customFormat="false" ht="39.75" hidden="false" customHeight="true" outlineLevel="0" collapsed="false">
      <c r="A168" s="13" t="s">
        <v>10</v>
      </c>
      <c r="B168" s="14" t="s">
        <v>1334</v>
      </c>
      <c r="C168" s="15" t="s">
        <v>1380</v>
      </c>
      <c r="D168" s="15" t="s">
        <v>128</v>
      </c>
      <c r="E168" s="16" t="s">
        <v>1381</v>
      </c>
      <c r="F168" s="14" t="s">
        <v>1357</v>
      </c>
      <c r="G168" s="14" t="s">
        <v>1382</v>
      </c>
      <c r="H168" s="15" t="s">
        <v>1383</v>
      </c>
      <c r="I168" s="15" t="s">
        <v>1384</v>
      </c>
      <c r="J168" s="15" t="s">
        <v>908</v>
      </c>
      <c r="K168" s="15" t="s">
        <v>67</v>
      </c>
      <c r="L168" s="17" t="n">
        <v>101</v>
      </c>
      <c r="M168" s="18" t="n">
        <v>26749000</v>
      </c>
      <c r="N168" s="19" t="n">
        <v>1956</v>
      </c>
      <c r="O168" s="15"/>
      <c r="P168" s="20" t="s">
        <v>1385</v>
      </c>
      <c r="Q168" s="15"/>
      <c r="R168" s="21" t="s">
        <v>71</v>
      </c>
      <c r="S168" s="22"/>
      <c r="T168" s="23"/>
      <c r="U168" s="14" t="s">
        <v>1364</v>
      </c>
      <c r="V168" s="14" t="n">
        <v>509741446</v>
      </c>
    </row>
    <row r="169" customFormat="false" ht="39.75" hidden="false" customHeight="true" outlineLevel="0" collapsed="false">
      <c r="A169" s="13" t="s">
        <v>10</v>
      </c>
      <c r="B169" s="14" t="s">
        <v>1334</v>
      </c>
      <c r="C169" s="15" t="s">
        <v>1386</v>
      </c>
      <c r="D169" s="15" t="s">
        <v>1387</v>
      </c>
      <c r="E169" s="16" t="s">
        <v>1388</v>
      </c>
      <c r="F169" s="14" t="s">
        <v>1357</v>
      </c>
      <c r="G169" s="14" t="s">
        <v>1389</v>
      </c>
      <c r="H169" s="15"/>
      <c r="I169" s="15" t="s">
        <v>1390</v>
      </c>
      <c r="J169" s="15" t="s">
        <v>918</v>
      </c>
      <c r="K169" s="15" t="s">
        <v>67</v>
      </c>
      <c r="L169" s="17" t="n">
        <v>101</v>
      </c>
      <c r="M169" s="18" t="n">
        <v>27261000</v>
      </c>
      <c r="N169" s="19" t="n">
        <v>1965</v>
      </c>
      <c r="O169" s="15"/>
      <c r="P169" s="20" t="s">
        <v>1391</v>
      </c>
      <c r="Q169" s="15" t="s">
        <v>1392</v>
      </c>
      <c r="R169" s="21" t="s">
        <v>71</v>
      </c>
      <c r="S169" s="22"/>
      <c r="T169" s="23"/>
      <c r="U169" s="14" t="s">
        <v>1364</v>
      </c>
      <c r="V169" s="14" t="n">
        <v>71355494</v>
      </c>
    </row>
    <row r="170" customFormat="false" ht="39.75" hidden="false" customHeight="true" outlineLevel="0" collapsed="false">
      <c r="A170" s="24" t="s">
        <v>12</v>
      </c>
      <c r="B170" s="14" t="s">
        <v>1334</v>
      </c>
      <c r="C170" s="15" t="s">
        <v>1393</v>
      </c>
      <c r="D170" s="15" t="s">
        <v>1394</v>
      </c>
      <c r="E170" s="16" t="s">
        <v>1395</v>
      </c>
      <c r="F170" s="14" t="s">
        <v>1338</v>
      </c>
      <c r="G170" s="14" t="s">
        <v>1396</v>
      </c>
      <c r="H170" s="15" t="s">
        <v>1397</v>
      </c>
      <c r="I170" s="15"/>
      <c r="J170" s="15" t="s">
        <v>918</v>
      </c>
      <c r="K170" s="15" t="s">
        <v>67</v>
      </c>
      <c r="L170" s="17" t="n">
        <v>650</v>
      </c>
      <c r="M170" s="18" t="n">
        <v>176522000</v>
      </c>
      <c r="N170" s="19" t="n">
        <v>1916</v>
      </c>
      <c r="O170" s="15"/>
      <c r="P170" s="20" t="s">
        <v>1398</v>
      </c>
      <c r="Q170" s="15" t="s">
        <v>1399</v>
      </c>
      <c r="R170" s="21" t="s">
        <v>71</v>
      </c>
      <c r="S170" s="22"/>
      <c r="T170" s="23"/>
      <c r="U170" s="14" t="s">
        <v>1344</v>
      </c>
      <c r="V170" s="14" t="n">
        <v>45891624</v>
      </c>
    </row>
    <row r="171" customFormat="false" ht="39.75" hidden="false" customHeight="true" outlineLevel="0" collapsed="false">
      <c r="A171" s="24" t="s">
        <v>12</v>
      </c>
      <c r="B171" s="14" t="s">
        <v>1334</v>
      </c>
      <c r="C171" s="15" t="s">
        <v>1400</v>
      </c>
      <c r="D171" s="15" t="s">
        <v>1401</v>
      </c>
      <c r="E171" s="16" t="s">
        <v>1402</v>
      </c>
      <c r="F171" s="14" t="s">
        <v>1357</v>
      </c>
      <c r="G171" s="14" t="s">
        <v>1403</v>
      </c>
      <c r="H171" s="15" t="s">
        <v>1404</v>
      </c>
      <c r="I171" s="15" t="s">
        <v>1405</v>
      </c>
      <c r="J171" s="15" t="s">
        <v>918</v>
      </c>
      <c r="K171" s="15" t="s">
        <v>67</v>
      </c>
      <c r="L171" s="17" t="n">
        <v>437</v>
      </c>
      <c r="M171" s="18" t="n">
        <v>63716000</v>
      </c>
      <c r="N171" s="19" t="n">
        <v>1930</v>
      </c>
      <c r="O171" s="15"/>
      <c r="P171" s="20" t="s">
        <v>1406</v>
      </c>
      <c r="Q171" s="15"/>
      <c r="R171" s="21" t="s">
        <v>71</v>
      </c>
      <c r="S171" s="22"/>
      <c r="T171" s="23"/>
      <c r="U171" s="14" t="s">
        <v>1364</v>
      </c>
      <c r="V171" s="14" t="n">
        <v>63801356</v>
      </c>
    </row>
    <row r="172" customFormat="false" ht="39.75" hidden="false" customHeight="true" outlineLevel="0" collapsed="false">
      <c r="A172" s="24" t="s">
        <v>12</v>
      </c>
      <c r="B172" s="14" t="s">
        <v>1334</v>
      </c>
      <c r="C172" s="15" t="s">
        <v>1407</v>
      </c>
      <c r="D172" s="15" t="s">
        <v>1075</v>
      </c>
      <c r="E172" s="16" t="s">
        <v>1408</v>
      </c>
      <c r="F172" s="14" t="s">
        <v>1357</v>
      </c>
      <c r="G172" s="14" t="s">
        <v>1409</v>
      </c>
      <c r="H172" s="15" t="s">
        <v>1410</v>
      </c>
      <c r="I172" s="15" t="s">
        <v>1411</v>
      </c>
      <c r="J172" s="15" t="s">
        <v>937</v>
      </c>
      <c r="K172" s="15" t="s">
        <v>67</v>
      </c>
      <c r="L172" s="17" t="n">
        <v>354</v>
      </c>
      <c r="M172" s="18" t="n">
        <v>30194000</v>
      </c>
      <c r="N172" s="19" t="n">
        <v>1992</v>
      </c>
      <c r="O172" s="15"/>
      <c r="P172" s="20" t="s">
        <v>1412</v>
      </c>
      <c r="Q172" s="15" t="s">
        <v>1413</v>
      </c>
      <c r="R172" s="21" t="s">
        <v>71</v>
      </c>
      <c r="S172" s="22"/>
      <c r="T172" s="23"/>
      <c r="U172" s="14" t="s">
        <v>1364</v>
      </c>
      <c r="V172" s="14" t="n">
        <v>16994242</v>
      </c>
    </row>
    <row r="173" customFormat="false" ht="39.75" hidden="false" customHeight="true" outlineLevel="0" collapsed="false">
      <c r="A173" s="24" t="s">
        <v>12</v>
      </c>
      <c r="B173" s="14" t="s">
        <v>1334</v>
      </c>
      <c r="C173" s="15" t="s">
        <v>1414</v>
      </c>
      <c r="D173" s="15" t="s">
        <v>1415</v>
      </c>
      <c r="E173" s="16" t="s">
        <v>1416</v>
      </c>
      <c r="F173" s="14" t="s">
        <v>1417</v>
      </c>
      <c r="G173" s="14"/>
      <c r="H173" s="15"/>
      <c r="I173" s="15"/>
      <c r="J173" s="15" t="s">
        <v>995</v>
      </c>
      <c r="K173" s="15" t="s">
        <v>67</v>
      </c>
      <c r="L173" s="17" t="n">
        <v>308</v>
      </c>
      <c r="M173" s="18" t="n">
        <v>196050000</v>
      </c>
      <c r="N173" s="19"/>
      <c r="O173" s="15"/>
      <c r="P173" s="20" t="s">
        <v>1418</v>
      </c>
      <c r="Q173" s="15" t="s">
        <v>1419</v>
      </c>
      <c r="R173" s="21" t="s">
        <v>71</v>
      </c>
      <c r="S173" s="22"/>
      <c r="T173" s="23"/>
      <c r="U173" s="14" t="s">
        <v>1420</v>
      </c>
      <c r="V173" s="14" t="n">
        <v>30952153</v>
      </c>
    </row>
    <row r="174" customFormat="false" ht="39.75" hidden="false" customHeight="true" outlineLevel="0" collapsed="false">
      <c r="A174" s="24" t="s">
        <v>12</v>
      </c>
      <c r="B174" s="14" t="s">
        <v>1334</v>
      </c>
      <c r="C174" s="15" t="s">
        <v>1421</v>
      </c>
      <c r="D174" s="15" t="s">
        <v>1422</v>
      </c>
      <c r="E174" s="16" t="s">
        <v>1423</v>
      </c>
      <c r="F174" s="14" t="s">
        <v>1338</v>
      </c>
      <c r="G174" s="14" t="s">
        <v>1424</v>
      </c>
      <c r="H174" s="15"/>
      <c r="I174" s="15" t="s">
        <v>1425</v>
      </c>
      <c r="J174" s="15" t="s">
        <v>918</v>
      </c>
      <c r="K174" s="15" t="s">
        <v>67</v>
      </c>
      <c r="L174" s="17" t="n">
        <v>294</v>
      </c>
      <c r="M174" s="18" t="n">
        <v>66174000</v>
      </c>
      <c r="N174" s="19" t="n">
        <v>2008</v>
      </c>
      <c r="O174" s="15"/>
      <c r="P174" s="20" t="s">
        <v>1426</v>
      </c>
      <c r="Q174" s="15"/>
      <c r="R174" s="21" t="s">
        <v>71</v>
      </c>
      <c r="S174" s="22"/>
      <c r="T174" s="23"/>
      <c r="U174" s="14" t="s">
        <v>1344</v>
      </c>
      <c r="V174" s="14" t="n">
        <v>355741114</v>
      </c>
    </row>
    <row r="175" customFormat="false" ht="39.75" hidden="false" customHeight="true" outlineLevel="0" collapsed="false">
      <c r="A175" s="24" t="s">
        <v>12</v>
      </c>
      <c r="B175" s="14" t="s">
        <v>1334</v>
      </c>
      <c r="C175" s="15" t="s">
        <v>1427</v>
      </c>
      <c r="D175" s="15" t="s">
        <v>1428</v>
      </c>
      <c r="E175" s="16" t="s">
        <v>1429</v>
      </c>
      <c r="F175" s="14" t="s">
        <v>1417</v>
      </c>
      <c r="G175" s="14" t="s">
        <v>1430</v>
      </c>
      <c r="H175" s="15" t="s">
        <v>1431</v>
      </c>
      <c r="I175" s="15" t="s">
        <v>1432</v>
      </c>
      <c r="J175" s="15" t="s">
        <v>1053</v>
      </c>
      <c r="K175" s="15" t="s">
        <v>67</v>
      </c>
      <c r="L175" s="17" t="n">
        <v>250</v>
      </c>
      <c r="M175" s="18" t="n">
        <v>133192000</v>
      </c>
      <c r="N175" s="19" t="n">
        <v>1935</v>
      </c>
      <c r="O175" s="15"/>
      <c r="P175" s="20" t="s">
        <v>1433</v>
      </c>
      <c r="Q175" s="15"/>
      <c r="R175" s="21" t="s">
        <v>71</v>
      </c>
      <c r="S175" s="22"/>
      <c r="T175" s="23"/>
      <c r="U175" s="14" t="s">
        <v>1420</v>
      </c>
      <c r="V175" s="14" t="n">
        <v>353985141</v>
      </c>
    </row>
    <row r="176" customFormat="false" ht="39.75" hidden="false" customHeight="true" outlineLevel="0" collapsed="false">
      <c r="A176" s="24" t="s">
        <v>12</v>
      </c>
      <c r="B176" s="14" t="s">
        <v>1334</v>
      </c>
      <c r="C176" s="15" t="s">
        <v>1434</v>
      </c>
      <c r="D176" s="15" t="s">
        <v>1435</v>
      </c>
      <c r="E176" s="16" t="s">
        <v>1436</v>
      </c>
      <c r="F176" s="14" t="s">
        <v>1437</v>
      </c>
      <c r="G176" s="14" t="s">
        <v>1438</v>
      </c>
      <c r="H176" s="15"/>
      <c r="I176" s="15" t="s">
        <v>1439</v>
      </c>
      <c r="J176" s="15" t="s">
        <v>937</v>
      </c>
      <c r="K176" s="15" t="s">
        <v>67</v>
      </c>
      <c r="L176" s="17" t="n">
        <v>200</v>
      </c>
      <c r="M176" s="18" t="n">
        <v>42268000</v>
      </c>
      <c r="N176" s="19"/>
      <c r="O176" s="15"/>
      <c r="P176" s="20" t="s">
        <v>1440</v>
      </c>
      <c r="Q176" s="15" t="s">
        <v>1441</v>
      </c>
      <c r="R176" s="21" t="s">
        <v>71</v>
      </c>
      <c r="S176" s="22"/>
      <c r="T176" s="23"/>
      <c r="U176" s="14" t="s">
        <v>1442</v>
      </c>
      <c r="V176" s="14" t="n">
        <v>556202114</v>
      </c>
    </row>
    <row r="177" customFormat="false" ht="39.75" hidden="false" customHeight="true" outlineLevel="0" collapsed="false">
      <c r="A177" s="24" t="s">
        <v>12</v>
      </c>
      <c r="B177" s="14" t="s">
        <v>1334</v>
      </c>
      <c r="C177" s="15" t="s">
        <v>1443</v>
      </c>
      <c r="D177" s="15" t="s">
        <v>1444</v>
      </c>
      <c r="E177" s="16" t="s">
        <v>1445</v>
      </c>
      <c r="F177" s="14" t="s">
        <v>1357</v>
      </c>
      <c r="G177" s="14" t="s">
        <v>1446</v>
      </c>
      <c r="H177" s="15"/>
      <c r="I177" s="15" t="s">
        <v>1447</v>
      </c>
      <c r="J177" s="15" t="s">
        <v>918</v>
      </c>
      <c r="K177" s="15" t="s">
        <v>67</v>
      </c>
      <c r="L177" s="17" t="n">
        <v>175</v>
      </c>
      <c r="M177" s="18" t="n">
        <v>21086000</v>
      </c>
      <c r="N177" s="19" t="n">
        <v>1973</v>
      </c>
      <c r="O177" s="15"/>
      <c r="P177" s="20" t="s">
        <v>1448</v>
      </c>
      <c r="Q177" s="15" t="s">
        <v>1449</v>
      </c>
      <c r="R177" s="21" t="s">
        <v>71</v>
      </c>
      <c r="S177" s="22"/>
      <c r="T177" s="23"/>
      <c r="U177" s="14" t="s">
        <v>1364</v>
      </c>
      <c r="V177" s="14" t="n">
        <v>343685898</v>
      </c>
    </row>
    <row r="178" customFormat="false" ht="39.75" hidden="false" customHeight="true" outlineLevel="0" collapsed="false">
      <c r="A178" s="24" t="s">
        <v>12</v>
      </c>
      <c r="B178" s="14" t="s">
        <v>1334</v>
      </c>
      <c r="C178" s="15" t="s">
        <v>1450</v>
      </c>
      <c r="D178" s="15" t="s">
        <v>1451</v>
      </c>
      <c r="E178" s="16" t="s">
        <v>1452</v>
      </c>
      <c r="F178" s="14" t="s">
        <v>1417</v>
      </c>
      <c r="G178" s="14" t="s">
        <v>1453</v>
      </c>
      <c r="H178" s="15"/>
      <c r="I178" s="15" t="s">
        <v>1454</v>
      </c>
      <c r="J178" s="15" t="s">
        <v>963</v>
      </c>
      <c r="K178" s="15" t="s">
        <v>67</v>
      </c>
      <c r="L178" s="17" t="n">
        <v>162</v>
      </c>
      <c r="M178" s="18" t="n">
        <v>119987000</v>
      </c>
      <c r="N178" s="19" t="n">
        <v>1936</v>
      </c>
      <c r="O178" s="15"/>
      <c r="P178" s="20" t="s">
        <v>1455</v>
      </c>
      <c r="Q178" s="15"/>
      <c r="R178" s="21" t="s">
        <v>71</v>
      </c>
      <c r="S178" s="22"/>
      <c r="T178" s="23"/>
      <c r="U178" s="14" t="s">
        <v>1420</v>
      </c>
      <c r="V178" s="14" t="n">
        <v>45993486</v>
      </c>
    </row>
    <row r="179" customFormat="false" ht="39.75" hidden="false" customHeight="true" outlineLevel="0" collapsed="false">
      <c r="A179" s="24" t="s">
        <v>12</v>
      </c>
      <c r="B179" s="14" t="s">
        <v>1334</v>
      </c>
      <c r="C179" s="15" t="s">
        <v>1456</v>
      </c>
      <c r="D179" s="15" t="s">
        <v>1457</v>
      </c>
      <c r="E179" s="16" t="s">
        <v>1458</v>
      </c>
      <c r="F179" s="14" t="s">
        <v>1348</v>
      </c>
      <c r="G179" s="14" t="s">
        <v>1459</v>
      </c>
      <c r="H179" s="15"/>
      <c r="I179" s="15"/>
      <c r="J179" s="15" t="s">
        <v>963</v>
      </c>
      <c r="K179" s="15" t="s">
        <v>67</v>
      </c>
      <c r="L179" s="17" t="n">
        <v>162</v>
      </c>
      <c r="M179" s="18" t="n">
        <v>18132000</v>
      </c>
      <c r="N179" s="19" t="n">
        <v>1988</v>
      </c>
      <c r="O179" s="15"/>
      <c r="P179" s="20" t="s">
        <v>1460</v>
      </c>
      <c r="Q179" s="15"/>
      <c r="R179" s="21" t="s">
        <v>71</v>
      </c>
      <c r="S179" s="22"/>
      <c r="T179" s="23"/>
      <c r="U179" s="14" t="s">
        <v>1353</v>
      </c>
      <c r="V179" s="14"/>
    </row>
    <row r="180" customFormat="false" ht="39.75" hidden="false" customHeight="true" outlineLevel="0" collapsed="false">
      <c r="A180" s="24" t="s">
        <v>12</v>
      </c>
      <c r="B180" s="14" t="s">
        <v>1334</v>
      </c>
      <c r="C180" s="15" t="s">
        <v>1461</v>
      </c>
      <c r="D180" s="15" t="s">
        <v>698</v>
      </c>
      <c r="E180" s="16" t="s">
        <v>1462</v>
      </c>
      <c r="F180" s="14" t="s">
        <v>1348</v>
      </c>
      <c r="G180" s="14" t="s">
        <v>1463</v>
      </c>
      <c r="H180" s="15"/>
      <c r="I180" s="15"/>
      <c r="J180" s="15" t="s">
        <v>995</v>
      </c>
      <c r="K180" s="15" t="s">
        <v>67</v>
      </c>
      <c r="L180" s="17" t="n">
        <v>133</v>
      </c>
      <c r="M180" s="18" t="n">
        <v>90390000</v>
      </c>
      <c r="N180" s="19" t="n">
        <v>1993</v>
      </c>
      <c r="O180" s="15"/>
      <c r="P180" s="20" t="s">
        <v>1464</v>
      </c>
      <c r="Q180" s="15"/>
      <c r="R180" s="21" t="s">
        <v>71</v>
      </c>
      <c r="S180" s="22"/>
      <c r="T180" s="23"/>
      <c r="U180" s="14" t="s">
        <v>1353</v>
      </c>
      <c r="V180" s="14" t="n">
        <v>58786516</v>
      </c>
    </row>
    <row r="181" customFormat="false" ht="39.75" hidden="false" customHeight="true" outlineLevel="0" collapsed="false">
      <c r="A181" s="24" t="s">
        <v>12</v>
      </c>
      <c r="B181" s="14" t="s">
        <v>1334</v>
      </c>
      <c r="C181" s="15" t="s">
        <v>1465</v>
      </c>
      <c r="D181" s="15" t="s">
        <v>1466</v>
      </c>
      <c r="E181" s="16" t="s">
        <v>1467</v>
      </c>
      <c r="F181" s="14" t="s">
        <v>1437</v>
      </c>
      <c r="G181" s="14" t="s">
        <v>1468</v>
      </c>
      <c r="H181" s="15" t="s">
        <v>1469</v>
      </c>
      <c r="I181" s="15" t="s">
        <v>1470</v>
      </c>
      <c r="J181" s="15" t="s">
        <v>1053</v>
      </c>
      <c r="K181" s="15" t="s">
        <v>67</v>
      </c>
      <c r="L181" s="17" t="n">
        <v>131</v>
      </c>
      <c r="M181" s="18" t="n">
        <v>226899000</v>
      </c>
      <c r="N181" s="19" t="n">
        <v>1933</v>
      </c>
      <c r="O181" s="15"/>
      <c r="P181" s="20" t="s">
        <v>1471</v>
      </c>
      <c r="Q181" s="15" t="s">
        <v>1472</v>
      </c>
      <c r="R181" s="21" t="s">
        <v>71</v>
      </c>
      <c r="S181" s="22"/>
      <c r="T181" s="23"/>
      <c r="U181" s="14" t="s">
        <v>1442</v>
      </c>
      <c r="V181" s="14" t="n">
        <v>33375094</v>
      </c>
    </row>
    <row r="182" customFormat="false" ht="39.75" hidden="false" customHeight="true" outlineLevel="0" collapsed="false">
      <c r="A182" s="24" t="s">
        <v>12</v>
      </c>
      <c r="B182" s="14" t="s">
        <v>1334</v>
      </c>
      <c r="C182" s="15" t="s">
        <v>1473</v>
      </c>
      <c r="D182" s="15" t="s">
        <v>1444</v>
      </c>
      <c r="E182" s="16" t="s">
        <v>1474</v>
      </c>
      <c r="F182" s="14" t="s">
        <v>1437</v>
      </c>
      <c r="G182" s="14" t="s">
        <v>1475</v>
      </c>
      <c r="H182" s="15"/>
      <c r="I182" s="15" t="s">
        <v>1476</v>
      </c>
      <c r="J182" s="15" t="s">
        <v>918</v>
      </c>
      <c r="K182" s="15" t="s">
        <v>67</v>
      </c>
      <c r="L182" s="17" t="n">
        <v>119</v>
      </c>
      <c r="M182" s="18" t="n">
        <v>11587000</v>
      </c>
      <c r="N182" s="19" t="n">
        <v>1965</v>
      </c>
      <c r="O182" s="15"/>
      <c r="P182" s="20" t="s">
        <v>1477</v>
      </c>
      <c r="Q182" s="15"/>
      <c r="R182" s="21" t="s">
        <v>71</v>
      </c>
      <c r="S182" s="22"/>
      <c r="T182" s="23"/>
      <c r="U182" s="14" t="s">
        <v>1442</v>
      </c>
      <c r="V182" s="14" t="n">
        <v>343453890</v>
      </c>
    </row>
    <row r="183" customFormat="false" ht="39.75" hidden="false" customHeight="true" outlineLevel="0" collapsed="false">
      <c r="A183" s="24" t="s">
        <v>12</v>
      </c>
      <c r="B183" s="14" t="s">
        <v>1334</v>
      </c>
      <c r="C183" s="15" t="s">
        <v>1478</v>
      </c>
      <c r="D183" s="15" t="s">
        <v>1479</v>
      </c>
      <c r="E183" s="16" t="s">
        <v>1480</v>
      </c>
      <c r="F183" s="14" t="s">
        <v>1348</v>
      </c>
      <c r="G183" s="14" t="s">
        <v>1481</v>
      </c>
      <c r="H183" s="15"/>
      <c r="I183" s="15" t="s">
        <v>1482</v>
      </c>
      <c r="J183" s="15" t="s">
        <v>995</v>
      </c>
      <c r="K183" s="15" t="s">
        <v>67</v>
      </c>
      <c r="L183" s="17" t="n">
        <v>107</v>
      </c>
      <c r="M183" s="18" t="n">
        <v>14853000</v>
      </c>
      <c r="N183" s="19" t="n">
        <v>1962</v>
      </c>
      <c r="O183" s="15"/>
      <c r="P183" s="20" t="s">
        <v>1483</v>
      </c>
      <c r="Q183" s="15"/>
      <c r="R183" s="21" t="s">
        <v>71</v>
      </c>
      <c r="S183" s="22"/>
      <c r="T183" s="23"/>
      <c r="U183" s="14" t="s">
        <v>1353</v>
      </c>
      <c r="V183" s="14" t="n">
        <v>7275226</v>
      </c>
    </row>
    <row r="184" customFormat="false" ht="39.75" hidden="false" customHeight="true" outlineLevel="0" collapsed="false">
      <c r="A184" s="24" t="s">
        <v>12</v>
      </c>
      <c r="B184" s="14" t="s">
        <v>1334</v>
      </c>
      <c r="C184" s="15" t="s">
        <v>1484</v>
      </c>
      <c r="D184" s="15" t="s">
        <v>1485</v>
      </c>
      <c r="E184" s="16" t="s">
        <v>1486</v>
      </c>
      <c r="F184" s="14" t="s">
        <v>1437</v>
      </c>
      <c r="G184" s="14" t="s">
        <v>1487</v>
      </c>
      <c r="H184" s="15" t="s">
        <v>1488</v>
      </c>
      <c r="I184" s="15" t="s">
        <v>1489</v>
      </c>
      <c r="J184" s="15" t="s">
        <v>963</v>
      </c>
      <c r="K184" s="15" t="s">
        <v>67</v>
      </c>
      <c r="L184" s="17" t="n">
        <v>104</v>
      </c>
      <c r="M184" s="18" t="n">
        <v>74888000</v>
      </c>
      <c r="N184" s="19" t="n">
        <v>1970</v>
      </c>
      <c r="O184" s="15"/>
      <c r="P184" s="20" t="s">
        <v>1490</v>
      </c>
      <c r="Q184" s="15"/>
      <c r="R184" s="21" t="s">
        <v>71</v>
      </c>
      <c r="S184" s="22"/>
      <c r="T184" s="23"/>
      <c r="U184" s="14" t="s">
        <v>1442</v>
      </c>
      <c r="V184" s="14" t="n">
        <v>6359706</v>
      </c>
    </row>
    <row r="185" customFormat="false" ht="39.75" hidden="false" customHeight="true" outlineLevel="0" collapsed="false">
      <c r="A185" s="24" t="s">
        <v>12</v>
      </c>
      <c r="B185" s="14" t="s">
        <v>1334</v>
      </c>
      <c r="C185" s="15" t="s">
        <v>1491</v>
      </c>
      <c r="D185" s="15" t="s">
        <v>1492</v>
      </c>
      <c r="E185" s="16" t="s">
        <v>1493</v>
      </c>
      <c r="F185" s="14" t="s">
        <v>1338</v>
      </c>
      <c r="G185" s="14" t="s">
        <v>1494</v>
      </c>
      <c r="H185" s="15" t="s">
        <v>1495</v>
      </c>
      <c r="I185" s="15" t="s">
        <v>1496</v>
      </c>
      <c r="J185" s="15" t="s">
        <v>963</v>
      </c>
      <c r="K185" s="15" t="s">
        <v>67</v>
      </c>
      <c r="L185" s="17" t="n">
        <v>100</v>
      </c>
      <c r="M185" s="18" t="n">
        <v>42187000</v>
      </c>
      <c r="N185" s="19" t="n">
        <v>1986</v>
      </c>
      <c r="O185" s="15"/>
      <c r="P185" s="20" t="s">
        <v>1497</v>
      </c>
      <c r="Q185" s="15" t="s">
        <v>1498</v>
      </c>
      <c r="R185" s="21" t="s">
        <v>71</v>
      </c>
      <c r="S185" s="22"/>
      <c r="T185" s="23"/>
      <c r="U185" s="14" t="s">
        <v>1344</v>
      </c>
      <c r="V185" s="14" t="n">
        <v>33361784</v>
      </c>
    </row>
    <row r="186" customFormat="false" ht="39.75" hidden="false" customHeight="true" outlineLevel="0" collapsed="false">
      <c r="A186" s="25" t="s">
        <v>14</v>
      </c>
      <c r="B186" s="14" t="s">
        <v>1334</v>
      </c>
      <c r="C186" s="15" t="s">
        <v>1499</v>
      </c>
      <c r="D186" s="15" t="s">
        <v>1500</v>
      </c>
      <c r="E186" s="16" t="s">
        <v>1501</v>
      </c>
      <c r="F186" s="14" t="s">
        <v>1417</v>
      </c>
      <c r="G186" s="14" t="s">
        <v>1502</v>
      </c>
      <c r="H186" s="15" t="s">
        <v>1503</v>
      </c>
      <c r="I186" s="15"/>
      <c r="J186" s="15" t="s">
        <v>937</v>
      </c>
      <c r="K186" s="15" t="s">
        <v>67</v>
      </c>
      <c r="L186" s="17" t="n">
        <v>1520</v>
      </c>
      <c r="M186" s="18" t="n">
        <v>98291000</v>
      </c>
      <c r="N186" s="19" t="n">
        <v>1955</v>
      </c>
      <c r="O186" s="15"/>
      <c r="P186" s="20" t="s">
        <v>1504</v>
      </c>
      <c r="Q186" s="15" t="s">
        <v>1505</v>
      </c>
      <c r="R186" s="21" t="s">
        <v>71</v>
      </c>
      <c r="S186" s="22"/>
      <c r="T186" s="23"/>
      <c r="U186" s="14" t="s">
        <v>1420</v>
      </c>
      <c r="V186" s="14" t="n">
        <v>71206204</v>
      </c>
    </row>
    <row r="187" customFormat="false" ht="39.75" hidden="false" customHeight="true" outlineLevel="0" collapsed="false">
      <c r="A187" s="25" t="s">
        <v>14</v>
      </c>
      <c r="B187" s="14" t="s">
        <v>1334</v>
      </c>
      <c r="C187" s="15" t="s">
        <v>1506</v>
      </c>
      <c r="D187" s="15" t="s">
        <v>1507</v>
      </c>
      <c r="E187" s="16" t="s">
        <v>1508</v>
      </c>
      <c r="F187" s="14" t="s">
        <v>1357</v>
      </c>
      <c r="G187" s="14"/>
      <c r="H187" s="15" t="s">
        <v>1509</v>
      </c>
      <c r="I187" s="15"/>
      <c r="J187" s="15" t="s">
        <v>908</v>
      </c>
      <c r="K187" s="15" t="s">
        <v>67</v>
      </c>
      <c r="L187" s="17" t="n">
        <v>488</v>
      </c>
      <c r="M187" s="18" t="n">
        <v>320912000</v>
      </c>
      <c r="N187" s="19" t="n">
        <v>1917</v>
      </c>
      <c r="O187" s="15" t="s">
        <v>1510</v>
      </c>
      <c r="P187" s="20" t="s">
        <v>1511</v>
      </c>
      <c r="Q187" s="15" t="s">
        <v>1512</v>
      </c>
      <c r="R187" s="21" t="s">
        <v>71</v>
      </c>
      <c r="S187" s="22"/>
      <c r="T187" s="23"/>
      <c r="U187" s="14" t="s">
        <v>1364</v>
      </c>
      <c r="V187" s="14" t="n">
        <v>87885823</v>
      </c>
    </row>
    <row r="188" customFormat="false" ht="39.75" hidden="false" customHeight="true" outlineLevel="0" collapsed="false">
      <c r="A188" s="25" t="s">
        <v>14</v>
      </c>
      <c r="B188" s="14" t="s">
        <v>1334</v>
      </c>
      <c r="C188" s="15" t="s">
        <v>1513</v>
      </c>
      <c r="D188" s="15" t="s">
        <v>1514</v>
      </c>
      <c r="E188" s="16" t="s">
        <v>1515</v>
      </c>
      <c r="F188" s="14" t="s">
        <v>1437</v>
      </c>
      <c r="G188" s="14" t="s">
        <v>1516</v>
      </c>
      <c r="H188" s="15"/>
      <c r="I188" s="15" t="s">
        <v>1517</v>
      </c>
      <c r="J188" s="15" t="s">
        <v>995</v>
      </c>
      <c r="K188" s="15" t="s">
        <v>67</v>
      </c>
      <c r="L188" s="17" t="n">
        <v>127</v>
      </c>
      <c r="M188" s="18" t="n">
        <v>38610000</v>
      </c>
      <c r="N188" s="19" t="n">
        <v>2013</v>
      </c>
      <c r="O188" s="15" t="s">
        <v>1518</v>
      </c>
      <c r="P188" s="20" t="s">
        <v>1519</v>
      </c>
      <c r="Q188" s="15" t="s">
        <v>1520</v>
      </c>
      <c r="R188" s="21" t="s">
        <v>71</v>
      </c>
      <c r="S188" s="22"/>
      <c r="T188" s="23"/>
      <c r="U188" s="14" t="s">
        <v>1442</v>
      </c>
      <c r="V188" s="14" t="n">
        <v>358801012</v>
      </c>
    </row>
    <row r="189" customFormat="false" ht="39.75" hidden="false" customHeight="true" outlineLevel="0" collapsed="false">
      <c r="A189" s="13" t="s">
        <v>10</v>
      </c>
      <c r="B189" s="14" t="s">
        <v>1521</v>
      </c>
      <c r="C189" s="15" t="s">
        <v>1522</v>
      </c>
      <c r="D189" s="15" t="s">
        <v>1523</v>
      </c>
      <c r="E189" s="16" t="s">
        <v>1524</v>
      </c>
      <c r="F189" s="14" t="s">
        <v>1525</v>
      </c>
      <c r="G189" s="14" t="s">
        <v>1526</v>
      </c>
      <c r="H189" s="15" t="s">
        <v>1527</v>
      </c>
      <c r="I189" s="15"/>
      <c r="J189" s="15" t="s">
        <v>1528</v>
      </c>
      <c r="K189" s="15" t="s">
        <v>67</v>
      </c>
      <c r="L189" s="17" t="n">
        <v>381</v>
      </c>
      <c r="M189" s="18"/>
      <c r="N189" s="19" t="n">
        <v>1891</v>
      </c>
      <c r="O189" s="15"/>
      <c r="P189" s="20" t="s">
        <v>1529</v>
      </c>
      <c r="Q189" s="15" t="s">
        <v>1530</v>
      </c>
      <c r="R189" s="21" t="s">
        <v>71</v>
      </c>
      <c r="S189" s="22"/>
      <c r="T189" s="23"/>
      <c r="U189" s="14" t="s">
        <v>1531</v>
      </c>
      <c r="V189" s="14"/>
    </row>
    <row r="190" customFormat="false" ht="39.75" hidden="false" customHeight="true" outlineLevel="0" collapsed="false">
      <c r="A190" s="13" t="s">
        <v>10</v>
      </c>
      <c r="B190" s="14" t="s">
        <v>1521</v>
      </c>
      <c r="C190" s="15" t="s">
        <v>1532</v>
      </c>
      <c r="D190" s="15" t="s">
        <v>923</v>
      </c>
      <c r="E190" s="16" t="s">
        <v>1533</v>
      </c>
      <c r="F190" s="14" t="s">
        <v>1534</v>
      </c>
      <c r="G190" s="14"/>
      <c r="H190" s="15" t="s">
        <v>1535</v>
      </c>
      <c r="I190" s="15"/>
      <c r="J190" s="15" t="s">
        <v>1536</v>
      </c>
      <c r="K190" s="15" t="s">
        <v>67</v>
      </c>
      <c r="L190" s="17" t="n">
        <v>32</v>
      </c>
      <c r="M190" s="18"/>
      <c r="N190" s="19"/>
      <c r="O190" s="15"/>
      <c r="P190" s="20" t="s">
        <v>1537</v>
      </c>
      <c r="Q190" s="15" t="s">
        <v>1538</v>
      </c>
      <c r="R190" s="21" t="s">
        <v>71</v>
      </c>
      <c r="S190" s="22"/>
      <c r="T190" s="23"/>
      <c r="U190" s="14" t="s">
        <v>1539</v>
      </c>
      <c r="V190" s="14"/>
    </row>
    <row r="191" customFormat="false" ht="39.75" hidden="false" customHeight="true" outlineLevel="0" collapsed="false">
      <c r="A191" s="24" t="s">
        <v>12</v>
      </c>
      <c r="B191" s="14" t="s">
        <v>1521</v>
      </c>
      <c r="C191" s="15" t="s">
        <v>1540</v>
      </c>
      <c r="D191" s="15" t="s">
        <v>1541</v>
      </c>
      <c r="E191" s="16" t="s">
        <v>1542</v>
      </c>
      <c r="F191" s="14" t="s">
        <v>1543</v>
      </c>
      <c r="G191" s="14" t="s">
        <v>1544</v>
      </c>
      <c r="H191" s="15"/>
      <c r="I191" s="15"/>
      <c r="J191" s="15" t="s">
        <v>1545</v>
      </c>
      <c r="K191" s="15" t="s">
        <v>67</v>
      </c>
      <c r="L191" s="17" t="n">
        <v>251</v>
      </c>
      <c r="M191" s="18"/>
      <c r="N191" s="19" t="n">
        <v>1946</v>
      </c>
      <c r="O191" s="15"/>
      <c r="P191" s="20" t="s">
        <v>1546</v>
      </c>
      <c r="Q191" s="15" t="s">
        <v>1547</v>
      </c>
      <c r="R191" s="21" t="s">
        <v>71</v>
      </c>
      <c r="S191" s="22"/>
      <c r="T191" s="23"/>
      <c r="U191" s="14" t="s">
        <v>1548</v>
      </c>
      <c r="V191" s="14"/>
    </row>
    <row r="192" customFormat="false" ht="39.75" hidden="false" customHeight="true" outlineLevel="0" collapsed="false">
      <c r="A192" s="24" t="s">
        <v>12</v>
      </c>
      <c r="B192" s="14" t="s">
        <v>1521</v>
      </c>
      <c r="C192" s="15" t="s">
        <v>1549</v>
      </c>
      <c r="D192" s="15" t="s">
        <v>1550</v>
      </c>
      <c r="E192" s="16" t="s">
        <v>1551</v>
      </c>
      <c r="F192" s="14" t="s">
        <v>1552</v>
      </c>
      <c r="G192" s="14" t="s">
        <v>1553</v>
      </c>
      <c r="H192" s="15" t="s">
        <v>1554</v>
      </c>
      <c r="I192" s="15" t="s">
        <v>1555</v>
      </c>
      <c r="J192" s="15" t="s">
        <v>1556</v>
      </c>
      <c r="K192" s="15" t="s">
        <v>67</v>
      </c>
      <c r="L192" s="17" t="n">
        <v>173</v>
      </c>
      <c r="M192" s="18"/>
      <c r="N192" s="19"/>
      <c r="O192" s="15"/>
      <c r="P192" s="20" t="s">
        <v>1557</v>
      </c>
      <c r="Q192" s="15" t="s">
        <v>1558</v>
      </c>
      <c r="R192" s="21" t="s">
        <v>71</v>
      </c>
      <c r="S192" s="22"/>
      <c r="T192" s="23"/>
      <c r="U192" s="14" t="s">
        <v>1559</v>
      </c>
      <c r="V192" s="14"/>
    </row>
    <row r="193" customFormat="false" ht="39.75" hidden="false" customHeight="true" outlineLevel="0" collapsed="false">
      <c r="A193" s="24" t="s">
        <v>12</v>
      </c>
      <c r="B193" s="14" t="s">
        <v>1521</v>
      </c>
      <c r="C193" s="15" t="s">
        <v>1560</v>
      </c>
      <c r="D193" s="15" t="s">
        <v>1561</v>
      </c>
      <c r="E193" s="16" t="s">
        <v>1562</v>
      </c>
      <c r="F193" s="14" t="s">
        <v>1525</v>
      </c>
      <c r="G193" s="14" t="s">
        <v>1563</v>
      </c>
      <c r="H193" s="15"/>
      <c r="I193" s="15"/>
      <c r="J193" s="15" t="s">
        <v>1564</v>
      </c>
      <c r="K193" s="15" t="s">
        <v>67</v>
      </c>
      <c r="L193" s="17" t="n">
        <v>125</v>
      </c>
      <c r="M193" s="18"/>
      <c r="N193" s="19"/>
      <c r="O193" s="15"/>
      <c r="P193" s="20" t="s">
        <v>1565</v>
      </c>
      <c r="Q193" s="15" t="s">
        <v>1566</v>
      </c>
      <c r="R193" s="21" t="s">
        <v>71</v>
      </c>
      <c r="S193" s="22"/>
      <c r="T193" s="23"/>
      <c r="U193" s="14" t="s">
        <v>1531</v>
      </c>
      <c r="V193" s="14"/>
    </row>
    <row r="194" customFormat="false" ht="39.75" hidden="false" customHeight="true" outlineLevel="0" collapsed="false">
      <c r="A194" s="24" t="s">
        <v>12</v>
      </c>
      <c r="B194" s="14" t="s">
        <v>1521</v>
      </c>
      <c r="C194" s="15" t="s">
        <v>1567</v>
      </c>
      <c r="D194" s="15" t="s">
        <v>1568</v>
      </c>
      <c r="E194" s="16" t="s">
        <v>1569</v>
      </c>
      <c r="F194" s="14" t="s">
        <v>1570</v>
      </c>
      <c r="G194" s="14" t="s">
        <v>1571</v>
      </c>
      <c r="H194" s="15"/>
      <c r="I194" s="15"/>
      <c r="J194" s="15" t="s">
        <v>1572</v>
      </c>
      <c r="K194" s="15" t="s">
        <v>67</v>
      </c>
      <c r="L194" s="17" t="n">
        <v>116</v>
      </c>
      <c r="M194" s="18"/>
      <c r="N194" s="19"/>
      <c r="O194" s="15"/>
      <c r="P194" s="20" t="s">
        <v>1573</v>
      </c>
      <c r="Q194" s="15" t="s">
        <v>1574</v>
      </c>
      <c r="R194" s="21" t="s">
        <v>71</v>
      </c>
      <c r="S194" s="22"/>
      <c r="T194" s="23"/>
      <c r="U194" s="14" t="s">
        <v>1575</v>
      </c>
      <c r="V194" s="14"/>
    </row>
    <row r="195" customFormat="false" ht="39.75" hidden="false" customHeight="true" outlineLevel="0" collapsed="false">
      <c r="A195" s="25" t="s">
        <v>14</v>
      </c>
      <c r="B195" s="14" t="s">
        <v>1521</v>
      </c>
      <c r="C195" s="15" t="s">
        <v>1576</v>
      </c>
      <c r="D195" s="15" t="s">
        <v>1577</v>
      </c>
      <c r="E195" s="16" t="s">
        <v>1578</v>
      </c>
      <c r="F195" s="14" t="s">
        <v>1525</v>
      </c>
      <c r="G195" s="14" t="s">
        <v>1579</v>
      </c>
      <c r="H195" s="15" t="s">
        <v>1580</v>
      </c>
      <c r="I195" s="15"/>
      <c r="J195" s="15" t="s">
        <v>1581</v>
      </c>
      <c r="K195" s="15" t="s">
        <v>67</v>
      </c>
      <c r="L195" s="17" t="n">
        <v>165</v>
      </c>
      <c r="M195" s="18"/>
      <c r="N195" s="19"/>
      <c r="O195" s="15"/>
      <c r="P195" s="20" t="s">
        <v>1582</v>
      </c>
      <c r="Q195" s="15" t="s">
        <v>1583</v>
      </c>
      <c r="R195" s="21" t="s">
        <v>71</v>
      </c>
      <c r="S195" s="22"/>
      <c r="T195" s="23"/>
      <c r="U195" s="14" t="s">
        <v>1531</v>
      </c>
      <c r="V195" s="14"/>
    </row>
    <row r="196" customFormat="false" ht="39.75" hidden="false" customHeight="true" outlineLevel="0" collapsed="false">
      <c r="A196" s="13" t="s">
        <v>10</v>
      </c>
      <c r="B196" s="14" t="s">
        <v>1584</v>
      </c>
      <c r="C196" s="15" t="s">
        <v>1585</v>
      </c>
      <c r="D196" s="15" t="s">
        <v>1586</v>
      </c>
      <c r="E196" s="16" t="s">
        <v>1587</v>
      </c>
      <c r="F196" s="14" t="s">
        <v>1588</v>
      </c>
      <c r="G196" s="14" t="s">
        <v>1589</v>
      </c>
      <c r="H196" s="15" t="s">
        <v>1590</v>
      </c>
      <c r="I196" s="15" t="s">
        <v>1591</v>
      </c>
      <c r="J196" s="15" t="s">
        <v>918</v>
      </c>
      <c r="K196" s="15" t="s">
        <v>67</v>
      </c>
      <c r="L196" s="17" t="n">
        <v>567</v>
      </c>
      <c r="M196" s="18" t="n">
        <v>46569000</v>
      </c>
      <c r="N196" s="19" t="n">
        <v>1993</v>
      </c>
      <c r="O196" s="15"/>
      <c r="P196" s="20" t="s">
        <v>1592</v>
      </c>
      <c r="Q196" s="15" t="s">
        <v>1593</v>
      </c>
      <c r="R196" s="21" t="s">
        <v>71</v>
      </c>
      <c r="S196" s="22"/>
      <c r="T196" s="23"/>
      <c r="U196" s="14" t="s">
        <v>1594</v>
      </c>
      <c r="V196" s="14" t="n">
        <v>45598062</v>
      </c>
    </row>
    <row r="197" customFormat="false" ht="39.75" hidden="false" customHeight="true" outlineLevel="0" collapsed="false">
      <c r="A197" s="13" t="s">
        <v>10</v>
      </c>
      <c r="B197" s="14" t="s">
        <v>1584</v>
      </c>
      <c r="C197" s="15" t="s">
        <v>1595</v>
      </c>
      <c r="D197" s="15" t="s">
        <v>1596</v>
      </c>
      <c r="E197" s="16" t="s">
        <v>1597</v>
      </c>
      <c r="F197" s="14" t="s">
        <v>1598</v>
      </c>
      <c r="G197" s="14" t="s">
        <v>1599</v>
      </c>
      <c r="H197" s="15" t="s">
        <v>1600</v>
      </c>
      <c r="I197" s="15"/>
      <c r="J197" s="15" t="s">
        <v>918</v>
      </c>
      <c r="K197" s="15" t="s">
        <v>67</v>
      </c>
      <c r="L197" s="17" t="n">
        <v>363</v>
      </c>
      <c r="M197" s="18" t="n">
        <v>71840000</v>
      </c>
      <c r="N197" s="19" t="n">
        <v>1955</v>
      </c>
      <c r="O197" s="15"/>
      <c r="P197" s="20" t="s">
        <v>1601</v>
      </c>
      <c r="Q197" s="15" t="s">
        <v>1602</v>
      </c>
      <c r="R197" s="21" t="s">
        <v>71</v>
      </c>
      <c r="S197" s="22"/>
      <c r="T197" s="23"/>
      <c r="U197" s="14" t="s">
        <v>1603</v>
      </c>
      <c r="V197" s="14" t="n">
        <v>129401436</v>
      </c>
    </row>
    <row r="198" customFormat="false" ht="39.75" hidden="false" customHeight="true" outlineLevel="0" collapsed="false">
      <c r="A198" s="13" t="s">
        <v>10</v>
      </c>
      <c r="B198" s="14" t="s">
        <v>1584</v>
      </c>
      <c r="C198" s="15" t="s">
        <v>1604</v>
      </c>
      <c r="D198" s="15" t="s">
        <v>1605</v>
      </c>
      <c r="E198" s="16" t="s">
        <v>1606</v>
      </c>
      <c r="F198" s="14" t="s">
        <v>1607</v>
      </c>
      <c r="G198" s="14" t="s">
        <v>1608</v>
      </c>
      <c r="H198" s="15" t="s">
        <v>1609</v>
      </c>
      <c r="I198" s="15" t="s">
        <v>1610</v>
      </c>
      <c r="J198" s="15" t="s">
        <v>1089</v>
      </c>
      <c r="K198" s="15" t="s">
        <v>67</v>
      </c>
      <c r="L198" s="17" t="n">
        <v>183</v>
      </c>
      <c r="M198" s="18" t="n">
        <v>38440000</v>
      </c>
      <c r="N198" s="19" t="n">
        <v>2009</v>
      </c>
      <c r="O198" s="15"/>
      <c r="P198" s="20" t="s">
        <v>1611</v>
      </c>
      <c r="Q198" s="15" t="s">
        <v>1612</v>
      </c>
      <c r="R198" s="21" t="s">
        <v>71</v>
      </c>
      <c r="S198" s="22"/>
      <c r="T198" s="23"/>
      <c r="U198" s="14" t="s">
        <v>1613</v>
      </c>
      <c r="V198" s="14" t="n">
        <v>371623882</v>
      </c>
    </row>
    <row r="199" customFormat="false" ht="39.75" hidden="false" customHeight="true" outlineLevel="0" collapsed="false">
      <c r="A199" s="13" t="s">
        <v>10</v>
      </c>
      <c r="B199" s="14" t="s">
        <v>1584</v>
      </c>
      <c r="C199" s="15" t="s">
        <v>1614</v>
      </c>
      <c r="D199" s="15" t="s">
        <v>1615</v>
      </c>
      <c r="E199" s="16" t="s">
        <v>1616</v>
      </c>
      <c r="F199" s="14" t="s">
        <v>1617</v>
      </c>
      <c r="G199" s="14" t="s">
        <v>1618</v>
      </c>
      <c r="H199" s="15" t="s">
        <v>1619</v>
      </c>
      <c r="I199" s="15" t="s">
        <v>1620</v>
      </c>
      <c r="J199" s="15" t="s">
        <v>918</v>
      </c>
      <c r="K199" s="15" t="s">
        <v>67</v>
      </c>
      <c r="L199" s="17" t="n">
        <v>117</v>
      </c>
      <c r="M199" s="18" t="n">
        <v>32350000</v>
      </c>
      <c r="N199" s="19" t="n">
        <v>1984</v>
      </c>
      <c r="O199" s="15"/>
      <c r="P199" s="20" t="s">
        <v>1621</v>
      </c>
      <c r="Q199" s="15" t="s">
        <v>1622</v>
      </c>
      <c r="R199" s="21" t="s">
        <v>71</v>
      </c>
      <c r="S199" s="22"/>
      <c r="T199" s="23"/>
      <c r="U199" s="14" t="s">
        <v>1623</v>
      </c>
      <c r="V199" s="14" t="n">
        <v>30296872</v>
      </c>
    </row>
    <row r="200" customFormat="false" ht="39.75" hidden="false" customHeight="true" outlineLevel="0" collapsed="false">
      <c r="A200" s="13" t="s">
        <v>10</v>
      </c>
      <c r="B200" s="14" t="s">
        <v>1584</v>
      </c>
      <c r="C200" s="15" t="s">
        <v>1624</v>
      </c>
      <c r="D200" s="15" t="s">
        <v>1625</v>
      </c>
      <c r="E200" s="16" t="s">
        <v>1626</v>
      </c>
      <c r="F200" s="14" t="s">
        <v>1588</v>
      </c>
      <c r="G200" s="14" t="s">
        <v>1627</v>
      </c>
      <c r="H200" s="15"/>
      <c r="I200" s="15" t="s">
        <v>1628</v>
      </c>
      <c r="J200" s="15" t="s">
        <v>937</v>
      </c>
      <c r="K200" s="15" t="s">
        <v>67</v>
      </c>
      <c r="L200" s="17" t="n">
        <v>103</v>
      </c>
      <c r="M200" s="18" t="n">
        <v>20077000</v>
      </c>
      <c r="N200" s="19" t="n">
        <v>1994</v>
      </c>
      <c r="O200" s="15" t="s">
        <v>1629</v>
      </c>
      <c r="P200" s="20" t="s">
        <v>1630</v>
      </c>
      <c r="Q200" s="15" t="s">
        <v>1631</v>
      </c>
      <c r="R200" s="21" t="s">
        <v>71</v>
      </c>
      <c r="S200" s="22"/>
      <c r="T200" s="23"/>
      <c r="U200" s="14" t="s">
        <v>1594</v>
      </c>
      <c r="V200" s="14" t="n">
        <v>114443677</v>
      </c>
    </row>
    <row r="201" customFormat="false" ht="39.75" hidden="false" customHeight="true" outlineLevel="0" collapsed="false">
      <c r="A201" s="13" t="s">
        <v>10</v>
      </c>
      <c r="B201" s="14" t="s">
        <v>1584</v>
      </c>
      <c r="C201" s="15" t="s">
        <v>1632</v>
      </c>
      <c r="D201" s="15" t="s">
        <v>1633</v>
      </c>
      <c r="E201" s="16" t="s">
        <v>1634</v>
      </c>
      <c r="F201" s="14" t="s">
        <v>1635</v>
      </c>
      <c r="G201" s="14" t="s">
        <v>1636</v>
      </c>
      <c r="H201" s="15" t="s">
        <v>1637</v>
      </c>
      <c r="I201" s="15" t="s">
        <v>1638</v>
      </c>
      <c r="J201" s="15" t="s">
        <v>918</v>
      </c>
      <c r="K201" s="15" t="s">
        <v>67</v>
      </c>
      <c r="L201" s="17" t="n">
        <v>96</v>
      </c>
      <c r="M201" s="18" t="n">
        <v>26071000</v>
      </c>
      <c r="N201" s="19" t="n">
        <v>1994</v>
      </c>
      <c r="O201" s="15"/>
      <c r="P201" s="20" t="s">
        <v>1639</v>
      </c>
      <c r="Q201" s="15" t="s">
        <v>1640</v>
      </c>
      <c r="R201" s="21" t="s">
        <v>71</v>
      </c>
      <c r="S201" s="22"/>
      <c r="T201" s="23"/>
      <c r="U201" s="14" t="s">
        <v>1641</v>
      </c>
      <c r="V201" s="14" t="n">
        <v>426173</v>
      </c>
    </row>
    <row r="202" customFormat="false" ht="39.75" hidden="false" customHeight="true" outlineLevel="0" collapsed="false">
      <c r="A202" s="13" t="s">
        <v>10</v>
      </c>
      <c r="B202" s="14" t="s">
        <v>1584</v>
      </c>
      <c r="C202" s="15" t="s">
        <v>1642</v>
      </c>
      <c r="D202" s="15" t="s">
        <v>1643</v>
      </c>
      <c r="E202" s="16" t="s">
        <v>1644</v>
      </c>
      <c r="F202" s="14" t="s">
        <v>1588</v>
      </c>
      <c r="G202" s="14" t="s">
        <v>1645</v>
      </c>
      <c r="H202" s="15"/>
      <c r="I202" s="15" t="s">
        <v>1646</v>
      </c>
      <c r="J202" s="15" t="s">
        <v>937</v>
      </c>
      <c r="K202" s="15" t="s">
        <v>67</v>
      </c>
      <c r="L202" s="17" t="n">
        <v>95</v>
      </c>
      <c r="M202" s="18" t="n">
        <v>19617000</v>
      </c>
      <c r="N202" s="19" t="n">
        <v>1974</v>
      </c>
      <c r="O202" s="15"/>
      <c r="P202" s="20" t="s">
        <v>1647</v>
      </c>
      <c r="Q202" s="15" t="s">
        <v>1648</v>
      </c>
      <c r="R202" s="21" t="s">
        <v>71</v>
      </c>
      <c r="S202" s="22"/>
      <c r="T202" s="23"/>
      <c r="U202" s="14" t="s">
        <v>1594</v>
      </c>
      <c r="V202" s="14" t="n">
        <v>416692291</v>
      </c>
    </row>
    <row r="203" customFormat="false" ht="39.75" hidden="false" customHeight="true" outlineLevel="0" collapsed="false">
      <c r="A203" s="24" t="s">
        <v>12</v>
      </c>
      <c r="B203" s="14" t="s">
        <v>1584</v>
      </c>
      <c r="C203" s="15" t="s">
        <v>1649</v>
      </c>
      <c r="D203" s="15" t="s">
        <v>1650</v>
      </c>
      <c r="E203" s="16" t="s">
        <v>1651</v>
      </c>
      <c r="F203" s="14" t="s">
        <v>1617</v>
      </c>
      <c r="G203" s="14" t="s">
        <v>1652</v>
      </c>
      <c r="H203" s="15" t="s">
        <v>1653</v>
      </c>
      <c r="I203" s="15" t="s">
        <v>1654</v>
      </c>
      <c r="J203" s="15" t="s">
        <v>1053</v>
      </c>
      <c r="K203" s="15" t="s">
        <v>67</v>
      </c>
      <c r="L203" s="17" t="n">
        <v>500</v>
      </c>
      <c r="M203" s="18" t="n">
        <v>360165000</v>
      </c>
      <c r="N203" s="19" t="n">
        <v>1987</v>
      </c>
      <c r="O203" s="15"/>
      <c r="P203" s="20" t="s">
        <v>1655</v>
      </c>
      <c r="Q203" s="15" t="s">
        <v>1656</v>
      </c>
      <c r="R203" s="21" t="s">
        <v>71</v>
      </c>
      <c r="S203" s="22"/>
      <c r="T203" s="23"/>
      <c r="U203" s="14" t="s">
        <v>1623</v>
      </c>
      <c r="V203" s="14" t="n">
        <v>85230209</v>
      </c>
    </row>
    <row r="204" customFormat="false" ht="39.75" hidden="false" customHeight="true" outlineLevel="0" collapsed="false">
      <c r="A204" s="24" t="s">
        <v>12</v>
      </c>
      <c r="B204" s="14" t="s">
        <v>1584</v>
      </c>
      <c r="C204" s="15" t="s">
        <v>1657</v>
      </c>
      <c r="D204" s="15" t="s">
        <v>1658</v>
      </c>
      <c r="E204" s="16" t="s">
        <v>1659</v>
      </c>
      <c r="F204" s="14" t="s">
        <v>1607</v>
      </c>
      <c r="G204" s="14" t="s">
        <v>1660</v>
      </c>
      <c r="H204" s="15"/>
      <c r="I204" s="15"/>
      <c r="J204" s="15" t="s">
        <v>963</v>
      </c>
      <c r="K204" s="15" t="s">
        <v>67</v>
      </c>
      <c r="L204" s="17" t="n">
        <v>366</v>
      </c>
      <c r="M204" s="18" t="n">
        <v>14464000</v>
      </c>
      <c r="N204" s="19" t="n">
        <v>2014</v>
      </c>
      <c r="O204" s="15"/>
      <c r="P204" s="20" t="s">
        <v>1661</v>
      </c>
      <c r="Q204" s="15"/>
      <c r="R204" s="21" t="s">
        <v>71</v>
      </c>
      <c r="S204" s="22"/>
      <c r="T204" s="23"/>
      <c r="U204" s="14" t="s">
        <v>1613</v>
      </c>
      <c r="V204" s="14" t="n">
        <v>359727670</v>
      </c>
    </row>
    <row r="205" customFormat="false" ht="39.75" hidden="false" customHeight="true" outlineLevel="0" collapsed="false">
      <c r="A205" s="24" t="s">
        <v>12</v>
      </c>
      <c r="B205" s="14" t="s">
        <v>1584</v>
      </c>
      <c r="C205" s="15" t="s">
        <v>1662</v>
      </c>
      <c r="D205" s="15" t="s">
        <v>1663</v>
      </c>
      <c r="E205" s="16" t="s">
        <v>1664</v>
      </c>
      <c r="F205" s="14" t="s">
        <v>1607</v>
      </c>
      <c r="G205" s="14" t="s">
        <v>1665</v>
      </c>
      <c r="H205" s="15"/>
      <c r="I205" s="15"/>
      <c r="J205" s="15" t="s">
        <v>1283</v>
      </c>
      <c r="K205" s="15" t="s">
        <v>67</v>
      </c>
      <c r="L205" s="17" t="n">
        <v>296</v>
      </c>
      <c r="M205" s="18" t="n">
        <v>28479000</v>
      </c>
      <c r="N205" s="19" t="n">
        <v>1969</v>
      </c>
      <c r="O205" s="15"/>
      <c r="P205" s="20" t="s">
        <v>1666</v>
      </c>
      <c r="Q205" s="15"/>
      <c r="R205" s="21" t="s">
        <v>71</v>
      </c>
      <c r="S205" s="22"/>
      <c r="T205" s="23"/>
      <c r="U205" s="14" t="s">
        <v>1613</v>
      </c>
      <c r="V205" s="14" t="n">
        <v>28361677</v>
      </c>
    </row>
    <row r="206" customFormat="false" ht="39.75" hidden="false" customHeight="true" outlineLevel="0" collapsed="false">
      <c r="A206" s="24" t="s">
        <v>12</v>
      </c>
      <c r="B206" s="14" t="s">
        <v>1584</v>
      </c>
      <c r="C206" s="15" t="s">
        <v>1667</v>
      </c>
      <c r="D206" s="15" t="s">
        <v>1668</v>
      </c>
      <c r="E206" s="16" t="s">
        <v>1669</v>
      </c>
      <c r="F206" s="14" t="s">
        <v>1588</v>
      </c>
      <c r="G206" s="14" t="s">
        <v>1670</v>
      </c>
      <c r="H206" s="15"/>
      <c r="I206" s="15" t="s">
        <v>1671</v>
      </c>
      <c r="J206" s="15" t="s">
        <v>963</v>
      </c>
      <c r="K206" s="15" t="s">
        <v>67</v>
      </c>
      <c r="L206" s="17" t="n">
        <v>278</v>
      </c>
      <c r="M206" s="18" t="n">
        <v>56973000</v>
      </c>
      <c r="N206" s="19" t="n">
        <v>2010</v>
      </c>
      <c r="O206" s="15"/>
      <c r="P206" s="20" t="s">
        <v>1672</v>
      </c>
      <c r="Q206" s="15" t="s">
        <v>1673</v>
      </c>
      <c r="R206" s="21" t="s">
        <v>71</v>
      </c>
      <c r="S206" s="22"/>
      <c r="T206" s="23"/>
      <c r="U206" s="14" t="s">
        <v>1594</v>
      </c>
      <c r="V206" s="14" t="n">
        <v>347367421</v>
      </c>
    </row>
    <row r="207" customFormat="false" ht="39.75" hidden="false" customHeight="true" outlineLevel="0" collapsed="false">
      <c r="A207" s="24" t="s">
        <v>12</v>
      </c>
      <c r="B207" s="14" t="s">
        <v>1584</v>
      </c>
      <c r="C207" s="15" t="s">
        <v>1674</v>
      </c>
      <c r="D207" s="15" t="s">
        <v>1675</v>
      </c>
      <c r="E207" s="16" t="s">
        <v>1676</v>
      </c>
      <c r="F207" s="14" t="s">
        <v>1635</v>
      </c>
      <c r="G207" s="14" t="s">
        <v>1677</v>
      </c>
      <c r="H207" s="15"/>
      <c r="I207" s="15" t="s">
        <v>1678</v>
      </c>
      <c r="J207" s="15" t="s">
        <v>918</v>
      </c>
      <c r="K207" s="15" t="s">
        <v>67</v>
      </c>
      <c r="L207" s="17" t="n">
        <v>125</v>
      </c>
      <c r="M207" s="18" t="n">
        <v>24248000</v>
      </c>
      <c r="N207" s="19" t="n">
        <v>1984</v>
      </c>
      <c r="O207" s="15" t="s">
        <v>1679</v>
      </c>
      <c r="P207" s="20" t="s">
        <v>1680</v>
      </c>
      <c r="Q207" s="15" t="s">
        <v>1681</v>
      </c>
      <c r="R207" s="21" t="s">
        <v>71</v>
      </c>
      <c r="S207" s="22"/>
      <c r="T207" s="23"/>
      <c r="U207" s="14" t="s">
        <v>1641</v>
      </c>
      <c r="V207" s="14" t="n">
        <v>56035430</v>
      </c>
    </row>
    <row r="208" customFormat="false" ht="39.75" hidden="false" customHeight="true" outlineLevel="0" collapsed="false">
      <c r="A208" s="24" t="s">
        <v>12</v>
      </c>
      <c r="B208" s="14" t="s">
        <v>1584</v>
      </c>
      <c r="C208" s="15" t="s">
        <v>1682</v>
      </c>
      <c r="D208" s="15" t="s">
        <v>1683</v>
      </c>
      <c r="E208" s="16" t="s">
        <v>1684</v>
      </c>
      <c r="F208" s="14" t="s">
        <v>1588</v>
      </c>
      <c r="G208" s="14" t="s">
        <v>1685</v>
      </c>
      <c r="H208" s="15" t="s">
        <v>1686</v>
      </c>
      <c r="I208" s="15"/>
      <c r="J208" s="15" t="s">
        <v>1053</v>
      </c>
      <c r="K208" s="15" t="s">
        <v>67</v>
      </c>
      <c r="L208" s="17" t="n">
        <v>122</v>
      </c>
      <c r="M208" s="18" t="n">
        <v>22762000</v>
      </c>
      <c r="N208" s="19" t="n">
        <v>1981</v>
      </c>
      <c r="O208" s="15"/>
      <c r="P208" s="20" t="s">
        <v>1687</v>
      </c>
      <c r="Q208" s="15"/>
      <c r="R208" s="21" t="s">
        <v>71</v>
      </c>
      <c r="S208" s="22"/>
      <c r="T208" s="23"/>
      <c r="U208" s="14" t="s">
        <v>1594</v>
      </c>
      <c r="V208" s="14" t="n">
        <v>13539125</v>
      </c>
    </row>
    <row r="209" customFormat="false" ht="39.75" hidden="false" customHeight="true" outlineLevel="0" collapsed="false">
      <c r="A209" s="24" t="s">
        <v>12</v>
      </c>
      <c r="B209" s="14" t="s">
        <v>1584</v>
      </c>
      <c r="C209" s="15" t="s">
        <v>1688</v>
      </c>
      <c r="D209" s="15" t="s">
        <v>1689</v>
      </c>
      <c r="E209" s="16" t="s">
        <v>1690</v>
      </c>
      <c r="F209" s="14" t="s">
        <v>1598</v>
      </c>
      <c r="G209" s="14" t="s">
        <v>1691</v>
      </c>
      <c r="H209" s="15" t="s">
        <v>1692</v>
      </c>
      <c r="I209" s="15" t="s">
        <v>1693</v>
      </c>
      <c r="J209" s="15" t="s">
        <v>963</v>
      </c>
      <c r="K209" s="15" t="s">
        <v>67</v>
      </c>
      <c r="L209" s="17" t="n">
        <v>106</v>
      </c>
      <c r="M209" s="18" t="n">
        <v>26241000</v>
      </c>
      <c r="N209" s="19" t="n">
        <v>1983</v>
      </c>
      <c r="O209" s="15"/>
      <c r="P209" s="20" t="s">
        <v>1694</v>
      </c>
      <c r="Q209" s="15" t="s">
        <v>1695</v>
      </c>
      <c r="R209" s="21" t="s">
        <v>71</v>
      </c>
      <c r="S209" s="22"/>
      <c r="T209" s="23"/>
      <c r="U209" s="14" t="s">
        <v>1603</v>
      </c>
      <c r="V209" s="14" t="n">
        <v>7635805</v>
      </c>
    </row>
    <row r="210" customFormat="false" ht="39.75" hidden="false" customHeight="true" outlineLevel="0" collapsed="false">
      <c r="A210" s="24" t="s">
        <v>12</v>
      </c>
      <c r="B210" s="14" t="s">
        <v>1584</v>
      </c>
      <c r="C210" s="15" t="s">
        <v>1696</v>
      </c>
      <c r="D210" s="15" t="s">
        <v>1697</v>
      </c>
      <c r="E210" s="16" t="s">
        <v>1698</v>
      </c>
      <c r="F210" s="14" t="s">
        <v>1607</v>
      </c>
      <c r="G210" s="14" t="s">
        <v>1699</v>
      </c>
      <c r="H210" s="15"/>
      <c r="I210" s="15" t="s">
        <v>1700</v>
      </c>
      <c r="J210" s="15" t="s">
        <v>918</v>
      </c>
      <c r="K210" s="15" t="s">
        <v>67</v>
      </c>
      <c r="L210" s="17" t="n">
        <v>102</v>
      </c>
      <c r="M210" s="18" t="n">
        <v>28998000</v>
      </c>
      <c r="N210" s="19" t="n">
        <v>1986</v>
      </c>
      <c r="O210" s="15"/>
      <c r="P210" s="20" t="s">
        <v>1701</v>
      </c>
      <c r="Q210" s="15"/>
      <c r="R210" s="21" t="s">
        <v>71</v>
      </c>
      <c r="S210" s="22"/>
      <c r="T210" s="23"/>
      <c r="U210" s="14" t="s">
        <v>1613</v>
      </c>
      <c r="V210" s="14" t="n">
        <v>840895</v>
      </c>
    </row>
    <row r="211" customFormat="false" ht="39.75" hidden="false" customHeight="true" outlineLevel="0" collapsed="false">
      <c r="A211" s="24" t="s">
        <v>12</v>
      </c>
      <c r="B211" s="14" t="s">
        <v>1584</v>
      </c>
      <c r="C211" s="15" t="s">
        <v>1702</v>
      </c>
      <c r="D211" s="15" t="s">
        <v>715</v>
      </c>
      <c r="E211" s="16" t="s">
        <v>1703</v>
      </c>
      <c r="F211" s="14" t="s">
        <v>1607</v>
      </c>
      <c r="G211" s="14" t="s">
        <v>1704</v>
      </c>
      <c r="H211" s="15"/>
      <c r="I211" s="15"/>
      <c r="J211" s="15" t="s">
        <v>995</v>
      </c>
      <c r="K211" s="15" t="s">
        <v>67</v>
      </c>
      <c r="L211" s="17" t="n">
        <v>102</v>
      </c>
      <c r="M211" s="18" t="n">
        <v>18207000</v>
      </c>
      <c r="N211" s="19" t="n">
        <v>1986</v>
      </c>
      <c r="O211" s="15"/>
      <c r="P211" s="20" t="s">
        <v>1705</v>
      </c>
      <c r="Q211" s="15"/>
      <c r="R211" s="21" t="s">
        <v>71</v>
      </c>
      <c r="S211" s="22"/>
      <c r="T211" s="23"/>
      <c r="U211" s="14" t="s">
        <v>1613</v>
      </c>
      <c r="V211" s="14" t="n">
        <v>92931408</v>
      </c>
    </row>
    <row r="212" customFormat="false" ht="39.75" hidden="false" customHeight="true" outlineLevel="0" collapsed="false">
      <c r="A212" s="24" t="s">
        <v>12</v>
      </c>
      <c r="B212" s="14" t="s">
        <v>1584</v>
      </c>
      <c r="C212" s="15" t="s">
        <v>1706</v>
      </c>
      <c r="D212" s="15" t="s">
        <v>1707</v>
      </c>
      <c r="E212" s="16" t="s">
        <v>1708</v>
      </c>
      <c r="F212" s="14" t="s">
        <v>1617</v>
      </c>
      <c r="G212" s="14" t="s">
        <v>1709</v>
      </c>
      <c r="H212" s="15"/>
      <c r="I212" s="15" t="s">
        <v>1710</v>
      </c>
      <c r="J212" s="15" t="s">
        <v>918</v>
      </c>
      <c r="K212" s="15" t="s">
        <v>67</v>
      </c>
      <c r="L212" s="17" t="n">
        <v>100</v>
      </c>
      <c r="M212" s="18" t="n">
        <v>19122000</v>
      </c>
      <c r="N212" s="19" t="n">
        <v>1991</v>
      </c>
      <c r="O212" s="15"/>
      <c r="P212" s="20" t="s">
        <v>1711</v>
      </c>
      <c r="Q212" s="15" t="s">
        <v>1712</v>
      </c>
      <c r="R212" s="21" t="s">
        <v>71</v>
      </c>
      <c r="S212" s="22"/>
      <c r="T212" s="23"/>
      <c r="U212" s="14" t="s">
        <v>1623</v>
      </c>
      <c r="V212" s="14" t="n">
        <v>109167378</v>
      </c>
    </row>
    <row r="213" customFormat="false" ht="39.75" hidden="false" customHeight="true" outlineLevel="0" collapsed="false">
      <c r="A213" s="24" t="s">
        <v>12</v>
      </c>
      <c r="B213" s="14" t="s">
        <v>1584</v>
      </c>
      <c r="C213" s="15" t="s">
        <v>1713</v>
      </c>
      <c r="D213" s="15" t="s">
        <v>1714</v>
      </c>
      <c r="E213" s="16" t="s">
        <v>1715</v>
      </c>
      <c r="F213" s="14" t="s">
        <v>1588</v>
      </c>
      <c r="G213" s="14" t="s">
        <v>1716</v>
      </c>
      <c r="H213" s="15"/>
      <c r="I213" s="15" t="s">
        <v>1717</v>
      </c>
      <c r="J213" s="15" t="s">
        <v>1053</v>
      </c>
      <c r="K213" s="15" t="s">
        <v>67</v>
      </c>
      <c r="L213" s="17" t="n">
        <v>100</v>
      </c>
      <c r="M213" s="18" t="n">
        <v>21112000</v>
      </c>
      <c r="N213" s="19" t="n">
        <v>1965</v>
      </c>
      <c r="O213" s="15"/>
      <c r="P213" s="20" t="s">
        <v>1718</v>
      </c>
      <c r="Q213" s="15"/>
      <c r="R213" s="21" t="s">
        <v>71</v>
      </c>
      <c r="S213" s="22"/>
      <c r="T213" s="23"/>
      <c r="U213" s="14" t="s">
        <v>1594</v>
      </c>
      <c r="V213" s="14" t="n">
        <v>15272254</v>
      </c>
    </row>
    <row r="214" customFormat="false" ht="39.75" hidden="false" customHeight="true" outlineLevel="0" collapsed="false">
      <c r="A214" s="24" t="s">
        <v>12</v>
      </c>
      <c r="B214" s="14" t="s">
        <v>1584</v>
      </c>
      <c r="C214" s="15" t="s">
        <v>1719</v>
      </c>
      <c r="D214" s="15" t="s">
        <v>1720</v>
      </c>
      <c r="E214" s="16" t="s">
        <v>1721</v>
      </c>
      <c r="F214" s="14" t="s">
        <v>1588</v>
      </c>
      <c r="G214" s="14" t="s">
        <v>1722</v>
      </c>
      <c r="H214" s="15"/>
      <c r="I214" s="15"/>
      <c r="J214" s="15" t="s">
        <v>1089</v>
      </c>
      <c r="K214" s="15" t="s">
        <v>67</v>
      </c>
      <c r="L214" s="17" t="n">
        <v>88</v>
      </c>
      <c r="M214" s="18" t="n">
        <v>11659000</v>
      </c>
      <c r="N214" s="19" t="n">
        <v>2001</v>
      </c>
      <c r="O214" s="15" t="s">
        <v>1723</v>
      </c>
      <c r="P214" s="20" t="s">
        <v>1724</v>
      </c>
      <c r="Q214" s="15" t="s">
        <v>1725</v>
      </c>
      <c r="R214" s="21" t="s">
        <v>71</v>
      </c>
      <c r="S214" s="22"/>
      <c r="T214" s="23"/>
      <c r="U214" s="14" t="s">
        <v>1594</v>
      </c>
      <c r="V214" s="14" t="n">
        <v>57331115</v>
      </c>
    </row>
    <row r="215" customFormat="false" ht="39.75" hidden="false" customHeight="true" outlineLevel="0" collapsed="false">
      <c r="A215" s="25" t="s">
        <v>14</v>
      </c>
      <c r="B215" s="14" t="s">
        <v>1584</v>
      </c>
      <c r="C215" s="15" t="s">
        <v>1726</v>
      </c>
      <c r="D215" s="15" t="s">
        <v>1727</v>
      </c>
      <c r="E215" s="16" t="s">
        <v>1728</v>
      </c>
      <c r="F215" s="14" t="s">
        <v>1588</v>
      </c>
      <c r="G215" s="14" t="s">
        <v>1729</v>
      </c>
      <c r="H215" s="15" t="s">
        <v>1730</v>
      </c>
      <c r="I215" s="15"/>
      <c r="J215" s="15" t="s">
        <v>937</v>
      </c>
      <c r="K215" s="15" t="s">
        <v>67</v>
      </c>
      <c r="L215" s="17" t="n">
        <v>400</v>
      </c>
      <c r="M215" s="18" t="n">
        <v>84021000</v>
      </c>
      <c r="N215" s="19" t="n">
        <v>2012</v>
      </c>
      <c r="O215" s="15"/>
      <c r="P215" s="20" t="s">
        <v>1731</v>
      </c>
      <c r="Q215" s="15" t="s">
        <v>1732</v>
      </c>
      <c r="R215" s="21" t="s">
        <v>71</v>
      </c>
      <c r="S215" s="22"/>
      <c r="T215" s="23"/>
      <c r="U215" s="14" t="s">
        <v>1594</v>
      </c>
      <c r="V215" s="14" t="n">
        <v>357858552</v>
      </c>
    </row>
    <row r="216" customFormat="false" ht="39.75" hidden="false" customHeight="true" outlineLevel="0" collapsed="false">
      <c r="A216" s="25" t="s">
        <v>14</v>
      </c>
      <c r="B216" s="14" t="s">
        <v>1584</v>
      </c>
      <c r="C216" s="15" t="s">
        <v>1733</v>
      </c>
      <c r="D216" s="15" t="s">
        <v>1734</v>
      </c>
      <c r="E216" s="16" t="s">
        <v>1735</v>
      </c>
      <c r="F216" s="14" t="s">
        <v>1617</v>
      </c>
      <c r="G216" s="14" t="s">
        <v>1736</v>
      </c>
      <c r="H216" s="15"/>
      <c r="I216" s="15"/>
      <c r="J216" s="15" t="s">
        <v>963</v>
      </c>
      <c r="K216" s="15" t="s">
        <v>67</v>
      </c>
      <c r="L216" s="17" t="n">
        <v>320</v>
      </c>
      <c r="M216" s="18" t="n">
        <v>67556000</v>
      </c>
      <c r="N216" s="19" t="n">
        <v>1856</v>
      </c>
      <c r="O216" s="15" t="s">
        <v>1737</v>
      </c>
      <c r="P216" s="20" t="s">
        <v>1738</v>
      </c>
      <c r="Q216" s="15" t="s">
        <v>1739</v>
      </c>
      <c r="R216" s="21" t="s">
        <v>71</v>
      </c>
      <c r="S216" s="22"/>
      <c r="T216" s="23"/>
      <c r="U216" s="14" t="s">
        <v>1623</v>
      </c>
      <c r="V216" s="14" t="n">
        <v>42077741</v>
      </c>
    </row>
    <row r="217" customFormat="false" ht="39.75" hidden="false" customHeight="true" outlineLevel="0" collapsed="false">
      <c r="A217" s="25" t="s">
        <v>14</v>
      </c>
      <c r="B217" s="14" t="s">
        <v>1584</v>
      </c>
      <c r="C217" s="15" t="s">
        <v>1740</v>
      </c>
      <c r="D217" s="15" t="s">
        <v>1741</v>
      </c>
      <c r="E217" s="16" t="s">
        <v>1742</v>
      </c>
      <c r="F217" s="14" t="s">
        <v>1607</v>
      </c>
      <c r="G217" s="14" t="s">
        <v>1743</v>
      </c>
      <c r="H217" s="15"/>
      <c r="I217" s="15"/>
      <c r="J217" s="15" t="s">
        <v>963</v>
      </c>
      <c r="K217" s="15" t="s">
        <v>67</v>
      </c>
      <c r="L217" s="17" t="n">
        <v>194</v>
      </c>
      <c r="M217" s="18" t="n">
        <v>154668000</v>
      </c>
      <c r="N217" s="19" t="n">
        <v>1981</v>
      </c>
      <c r="O217" s="15" t="s">
        <v>1744</v>
      </c>
      <c r="P217" s="20" t="s">
        <v>1745</v>
      </c>
      <c r="Q217" s="15" t="s">
        <v>1746</v>
      </c>
      <c r="R217" s="21" t="s">
        <v>71</v>
      </c>
      <c r="S217" s="22"/>
      <c r="T217" s="23"/>
      <c r="U217" s="14" t="s">
        <v>1613</v>
      </c>
      <c r="V217" s="14"/>
    </row>
    <row r="218" customFormat="false" ht="39.75" hidden="false" customHeight="true" outlineLevel="0" collapsed="false">
      <c r="A218" s="24" t="s">
        <v>12</v>
      </c>
      <c r="B218" s="14" t="s">
        <v>1747</v>
      </c>
      <c r="C218" s="15" t="s">
        <v>1748</v>
      </c>
      <c r="D218" s="15" t="s">
        <v>1749</v>
      </c>
      <c r="E218" s="16" t="s">
        <v>1750</v>
      </c>
      <c r="F218" s="14" t="s">
        <v>1570</v>
      </c>
      <c r="G218" s="14" t="s">
        <v>1751</v>
      </c>
      <c r="H218" s="15" t="s">
        <v>1752</v>
      </c>
      <c r="I218" s="15" t="s">
        <v>1753</v>
      </c>
      <c r="J218" s="15" t="s">
        <v>1754</v>
      </c>
      <c r="K218" s="15" t="s">
        <v>67</v>
      </c>
      <c r="L218" s="17" t="n">
        <v>549</v>
      </c>
      <c r="M218" s="18" t="n">
        <v>32775000</v>
      </c>
      <c r="N218" s="19" t="n">
        <v>1995</v>
      </c>
      <c r="O218" s="15"/>
      <c r="P218" s="20" t="s">
        <v>1755</v>
      </c>
      <c r="Q218" s="15" t="s">
        <v>1756</v>
      </c>
      <c r="R218" s="21" t="s">
        <v>71</v>
      </c>
      <c r="S218" s="22"/>
      <c r="T218" s="23"/>
      <c r="U218" s="14" t="s">
        <v>1575</v>
      </c>
      <c r="V218" s="14" t="n">
        <v>26038289</v>
      </c>
    </row>
  </sheetData>
  <autoFilter ref="A1:V218"/>
  <dataValidations count="1">
    <dataValidation allowBlank="true" errorStyle="stop" operator="between" showDropDown="false" showErrorMessage="false" showInputMessage="false" sqref="R2:R218" type="list">
      <formula1>"Not visited,Attempted no DM,Met DM,Call booked,Meeting held,Proposal out,Client,Not a fit,Do not revisit"</formula1>
      <formula2>0</formula2>
    </dataValidation>
  </dataValidations>
  <hyperlinks>
    <hyperlink ref="E2" r:id="rId1" display="1050 Hingham St, Fl 1"/>
    <hyperlink ref="P2" r:id="rId2" display="cutterassociates.com"/>
    <hyperlink ref="E3" r:id="rId3" display="40 Reservoir Park Dr, Ste A"/>
    <hyperlink ref="P3" r:id="rId4" display="fintrx.com"/>
    <hyperlink ref="E4" r:id="rId5" display="70 Ledgewood Pl"/>
    <hyperlink ref="P4" r:id="rId6" display="thecateredaffair.com"/>
    <hyperlink ref="E5" r:id="rId7" display="200 Ledgewood Pl, Ste 300"/>
    <hyperlink ref="P5" r:id="rId8" display="cpteng.com"/>
    <hyperlink ref="E6" r:id="rId9" display="300 Ledgewood Pl, Ste 300"/>
    <hyperlink ref="P6" r:id="rId10" display="burkeandassoc.com"/>
    <hyperlink ref="E7" r:id="rId11" display="1 Technology Pl"/>
    <hyperlink ref="P7" r:id="rId12" display="emdserono.com"/>
    <hyperlink ref="E8" r:id="rId13" display="200 Ledgewood Pl, Ste 200"/>
    <hyperlink ref="P8" r:id="rId14" display="foodtech.com"/>
    <hyperlink ref="E9" r:id="rId15" display="241 Union St"/>
    <hyperlink ref="P9" r:id="rId16" display="rfcu.com"/>
    <hyperlink ref="E10" r:id="rId17" display="276 Weymouth St"/>
    <hyperlink ref="P10" r:id="rId18" display="uppababy.com"/>
    <hyperlink ref="E11" r:id="rId19" display="180 Pleasant St"/>
    <hyperlink ref="P11" r:id="rId20" display="polymercorporation.com"/>
    <hyperlink ref="E12" r:id="rId21" display="100 Weymouth St, Ste C2"/>
    <hyperlink ref="P12" r:id="rId22" display="briggsengineering.com"/>
    <hyperlink ref="E13" r:id="rId23" display="105 Industrial Way"/>
    <hyperlink ref="P13" r:id="rId24" display="natcoat.com"/>
    <hyperlink ref="E14" r:id="rId25" display="9 Rockview Way, Ste B"/>
    <hyperlink ref="P14" r:id="rId26" display="k5corporation.com"/>
    <hyperlink ref="E15" r:id="rId27" display="405 VFW Dr, Ste 1"/>
    <hyperlink ref="P15" r:id="rId28" display="gtwilkinson.com"/>
    <hyperlink ref="E16" r:id="rId29" display="17 Rockview Way"/>
    <hyperlink ref="P16" r:id="rId30" display="commonwealthbuildingsystems.com"/>
    <hyperlink ref="E17" r:id="rId31" display="100 Weymouth St, Ste A1"/>
    <hyperlink ref="P17" r:id="rId32" display="bendongear.com"/>
    <hyperlink ref="E18" r:id="rId33" display="14 Howard St"/>
    <hyperlink ref="P18" r:id="rId34" display="foodallergy.com"/>
    <hyperlink ref="E19" r:id="rId35" display="288 Union St"/>
    <hyperlink ref="P19" r:id="rId36" display="rocklandtrust.com"/>
    <hyperlink ref="E20" r:id="rId37" display="333 Weymouth St"/>
    <hyperlink ref="P20" r:id="rId38" display="united-hvac.com"/>
    <hyperlink ref="E21" r:id="rId39" display="296 Weymouth St, Ste C"/>
    <hyperlink ref="P21" r:id="rId40" display="greenenvironmental.com"/>
    <hyperlink ref="E22" r:id="rId41" display="222 Weymouth St, Ste 2"/>
    <hyperlink ref="P22" r:id="rId42" display="onescience.com"/>
    <hyperlink ref="E23" r:id="rId43" display="11 Commerce Rd, Ste C"/>
    <hyperlink ref="P23" r:id="rId44" display="mija.com"/>
    <hyperlink ref="E24" r:id="rId45" display="7 Market St"/>
    <hyperlink ref="P24" r:id="rId46" display="ruggedmade.com"/>
    <hyperlink ref="E25" r:id="rId47" display="22 Longwater Dr"/>
    <hyperlink ref="P25" r:id="rId48" display="zildjian.com"/>
    <hyperlink ref="E26" r:id="rId49" display="600 Longwater Dr, Ste 107"/>
    <hyperlink ref="P26" r:id="rId50" display="radiusgrp.com"/>
    <hyperlink ref="E27" r:id="rId51" display="120 Longwater Dr, Ste 104"/>
    <hyperlink ref="P27" r:id="rId52" display="nvna.org"/>
    <hyperlink ref="E28" r:id="rId53" display="77 Accord Park Dr, Ste D1"/>
    <hyperlink ref="P28" r:id="rId54" display="dih.com"/>
    <hyperlink ref="E29" r:id="rId55" display="600 Longwater Dr, Ste 301"/>
    <hyperlink ref="P29" r:id="rId56" display="miniter.com"/>
    <hyperlink ref="E30" r:id="rId57" display="85 Accord Park Dr"/>
    <hyperlink ref="P30" r:id="rId58" display="snowandjones.com"/>
    <hyperlink ref="E31" r:id="rId59" display="85 Longwater Dr"/>
    <hyperlink ref="P31" r:id="rId60" display="airxchange.com"/>
    <hyperlink ref="E32" r:id="rId61" display="76 Accord Park Dr"/>
    <hyperlink ref="P32" r:id="rId62" display="alternativesaba.com"/>
    <hyperlink ref="E33" r:id="rId63" display="275 Longwater Dr"/>
    <hyperlink ref="P33" r:id="rId64" display="northriverhc.com"/>
    <hyperlink ref="E34" r:id="rId65" display="55 Accord Park Dr"/>
    <hyperlink ref="P34" r:id="rId66" display="radiosolutionsinc.com"/>
    <hyperlink ref="E35" r:id="rId67" display="17 Accord Park Dr, Ste 202"/>
    <hyperlink ref="P35" r:id="rId68" display="tryanglefoods.com"/>
    <hyperlink ref="E36" r:id="rId69" display="300 Longwater Dr"/>
    <hyperlink ref="P36" r:id="rId70" display="bluebearplumbing.com"/>
    <hyperlink ref="E37" r:id="rId71" display="141 Longwater Dr, Ste 203"/>
    <hyperlink ref="P37" r:id="rId72" display="driscollagency.com"/>
    <hyperlink ref="E38" r:id="rId73" display="42 Longwater Dr"/>
    <hyperlink ref="P38" r:id="rId74" display="safety-kleen.com"/>
    <hyperlink ref="E39" r:id="rId75" display="41 Accord Park Dr"/>
    <hyperlink ref="P39" r:id="rId76" display="sullivantire.com"/>
    <hyperlink ref="E40" r:id="rId77" display="90 Longwater Dr"/>
    <hyperlink ref="P40" r:id="rId78" display="signetgroup.net"/>
    <hyperlink ref="E41" r:id="rId79" display="75 Washington St, Ste 1"/>
    <hyperlink ref="P41" r:id="rId80" display="southshoreskincenter.com"/>
    <hyperlink ref="E42" r:id="rId81" display="137 Washington St"/>
    <hyperlink ref="P42" r:id="rId82" display="jackconway.com"/>
    <hyperlink ref="E43" r:id="rId83" display="501 Cordwainer Dr"/>
    <hyperlink ref="P43" r:id="rId84" display="southwoodatnorwell.com"/>
    <hyperlink ref="E44" r:id="rId85" display="80 Washington St, Ste Q57"/>
    <hyperlink ref="P44" r:id="rId86" display="provenaba.com"/>
    <hyperlink ref="E45" r:id="rId87" display="45 Pond St"/>
    <hyperlink ref="P45" r:id="rId88" display="ssautismcenter.com"/>
    <hyperlink ref="E46" r:id="rId89" display="80 Washington St, Bldg S"/>
    <hyperlink ref="P46" r:id="rId90" display="lmhspc.com"/>
    <hyperlink ref="E47" r:id="rId91" display="80 Washington St, Ste N51"/>
    <hyperlink ref="P47" r:id="rId92" display="oralsurgerysouth.com"/>
    <hyperlink ref="E48" r:id="rId93" display="384 Washington St, Ste 202"/>
    <hyperlink ref="P48" r:id="rId94" display="arbourhealth.com"/>
    <hyperlink ref="E49" r:id="rId95" display="458 Main St"/>
    <hyperlink ref="P49" r:id="rId96" display="friendshiphome.net"/>
    <hyperlink ref="E50" r:id="rId97" display="156 Norwell Ave"/>
    <hyperlink ref="P50" r:id="rId98" display="dolomite-bio.com"/>
    <hyperlink ref="E51" r:id="rId99" display="167 Washington St"/>
    <hyperlink ref="P51" r:id="rId100" display="ajaxjets.com"/>
    <hyperlink ref="E52" r:id="rId101" display="405 Washington St"/>
    <hyperlink ref="P52" r:id="rId102" display="cushingcenters.org"/>
    <hyperlink ref="E53" r:id="rId103" display="427 Columbia Rd, Ste 114"/>
    <hyperlink ref="P53" r:id="rId104" display="myhomesteadmortgage.com"/>
    <hyperlink ref="E54" r:id="rId105" display="2001 Washington St"/>
    <hyperlink ref="P54" r:id="rId106" display="firstresourcecompanies.com"/>
    <hyperlink ref="E55" r:id="rId107" display="1076 Washington St"/>
    <hyperlink ref="P55" r:id="rId108" display="wbaengineers.com"/>
    <hyperlink ref="E56" r:id="rId109" display="427 Columbia Rd"/>
    <hyperlink ref="P56" r:id="rId110" display="merrillinc.com"/>
    <hyperlink ref="E57" r:id="rId111" display="860 Washington St"/>
    <hyperlink ref="P57" r:id="rId112" display="mcgeetoyota.com"/>
    <hyperlink ref="E58" r:id="rId113" display="596 Washington St"/>
    <hyperlink ref="P58" r:id="rId114" display="planetsubaru.com"/>
    <hyperlink ref="E59" r:id="rId115" display="2000 Washington St"/>
    <hyperlink ref="P59" r:id="rId116" display="jannellford.com"/>
    <hyperlink ref="E60" r:id="rId117" display="351 Winter St"/>
    <hyperlink ref="P60" r:id="rId118" display="palanders.com"/>
    <hyperlink ref="E61" r:id="rId119" display="385 King St"/>
    <hyperlink ref="P61" r:id="rId120" display="buckleyonline.com"/>
    <hyperlink ref="E62" r:id="rId121" display="263 Winter St"/>
    <hyperlink ref="P62" r:id="rId122" display="srcmedical.com"/>
    <hyperlink ref="E63" r:id="rId123" display="353 Circuit St"/>
    <hyperlink ref="P63" r:id="rId124" display="hapcoincorporated.com"/>
    <hyperlink ref="E64" r:id="rId125" display="112 School St"/>
    <hyperlink ref="P64" r:id="rId126" display="gemgravure.com"/>
    <hyperlink ref="E65" r:id="rId127" display="85 Winter St"/>
    <hyperlink ref="P65" r:id="rId128" display="critechinc.com"/>
    <hyperlink ref="E66" r:id="rId129" display="35 Hanover St"/>
    <hyperlink ref="P66" r:id="rId130" display="amurphy.com"/>
    <hyperlink ref="E67" r:id="rId131" display="348 Circuit St, Ste 2"/>
    <hyperlink ref="P67" r:id="rId132" display="eyesaverinternational.com"/>
    <hyperlink ref="E68" r:id="rId133" display="348 Circuit St, Ste 1"/>
    <hyperlink ref="P68" r:id="rId134" display="sturtevantinc.com"/>
    <hyperlink ref="E69" r:id="rId135" display="145 Webster St, Ste J"/>
    <hyperlink ref="P69" r:id="rId136" display="lubritetechnologies.com"/>
    <hyperlink ref="E70" r:id="rId137" display="75 Mill St"/>
    <hyperlink ref="P70" r:id="rId138" display="ssymca.org"/>
    <hyperlink ref="E71" r:id="rId139" display="285 Circuit St"/>
    <hyperlink ref="P71" r:id="rId140" display="hinghammoving.com"/>
    <hyperlink ref="E72" r:id="rId141" display="24 Rockland St, Ste 5"/>
    <hyperlink ref="P72" r:id="rId142" display="burgopak.com"/>
    <hyperlink ref="E73" r:id="rId143" display="42 Winter St"/>
    <hyperlink ref="P73" r:id="rId144" display="royalhealthgroup.com"/>
    <hyperlink ref="E74" r:id="rId145" display="100 Schoosett St, Bldg 3"/>
    <hyperlink ref="P74" r:id="rId146" display="fmcicesports.com"/>
    <hyperlink ref="E75" r:id="rId147" display="91 Schoosett St"/>
    <hyperlink ref="P75" r:id="rId148" display="thayerscale.com"/>
    <hyperlink ref="E76" r:id="rId149" display="22 Riverside Dr"/>
    <hyperlink ref="P76" r:id="rId150" display="nelcoproducts.com"/>
    <hyperlink ref="E77" r:id="rId151" display="664 School St"/>
    <hyperlink ref="P77" r:id="rId152" display="newenglandvillage.org"/>
    <hyperlink ref="E78" r:id="rId153" display="223 Center St"/>
    <hyperlink ref="P78" r:id="rId154" display="preferredmechanicalservices.com"/>
    <hyperlink ref="E79" r:id="rId155" display="345 Washington St"/>
    <hyperlink ref="P79" r:id="rId156" display="yourelectricalsolutions.com"/>
    <hyperlink ref="E80" r:id="rId157" display="42 Winter St, Ste 36"/>
    <hyperlink ref="P80" r:id="rId158" display="rsidelivers.com"/>
    <hyperlink ref="E81" r:id="rId159" display="38 Washington St"/>
    <hyperlink ref="P81" r:id="rId160" display="acellaconstruction.com"/>
    <hyperlink ref="E82" r:id="rId161" display="243 Oak St"/>
    <hyperlink ref="P82" r:id="rId162" display="ritchienavigation.com"/>
    <hyperlink ref="E83" r:id="rId163" display="60 Washington St"/>
    <hyperlink ref="P83" r:id="rId164" display="protectowire.com"/>
    <hyperlink ref="E84" r:id="rId165" display="30 Corporate Park Dr, Ste 310"/>
    <hyperlink ref="P84" r:id="rId166" display="fci-ophthalmics.com"/>
    <hyperlink ref="E85" r:id="rId167" display="33 Riverside Dr"/>
    <hyperlink ref="P85" r:id="rId168" display="entegee.com"/>
    <hyperlink ref="E86" r:id="rId169" display="55 Corporate Park Dr, Ste 1"/>
    <hyperlink ref="P86" r:id="rId170" display="hornermillwork.com"/>
    <hyperlink ref="E87" r:id="rId171" display="30 Riverside Dr"/>
    <hyperlink ref="P87" r:id="rId172" display="markingsinc.com"/>
    <hyperlink ref="E88" r:id="rId173" display="35 Corporate Park Dr, Ste 2"/>
    <hyperlink ref="P88" r:id="rId174" display="peakmechanicalservices.com"/>
    <hyperlink ref="E89" r:id="rId175" display="33 Riverside Dr, Ste 200"/>
    <hyperlink ref="P89" r:id="rId176" display="charmmedical.com"/>
    <hyperlink ref="E90" r:id="rId177" display="12 Riverside Dr"/>
    <hyperlink ref="P90" r:id="rId178" display="cadeteenterprises.com"/>
    <hyperlink ref="E91" r:id="rId179" display="370 Corporate Park Dr"/>
    <hyperlink ref="P91" r:id="rId180" display="jlc-tech.com"/>
    <hyperlink ref="E92" r:id="rId181" display="7 Industrial Way"/>
    <hyperlink ref="P92" r:id="rId182" display="tkasphalt.com"/>
    <hyperlink ref="E93" r:id="rId183" display="225 Groveland St"/>
    <hyperlink ref="P93" r:id="rId184" display="capecodlumber.com"/>
    <hyperlink ref="E94" r:id="rId185" display="116 Helen Dr"/>
    <hyperlink ref="P94" r:id="rId186" display="southeasternaba.com"/>
    <hyperlink ref="E95" r:id="rId187" display="121 Franklin St"/>
    <hyperlink ref="P95" r:id="rId188" display="sullivansusa.com"/>
    <hyperlink ref="E96" r:id="rId189" display="551 Bedford St"/>
    <hyperlink ref="P96" r:id="rId190" display="seoanelandscape.com"/>
    <hyperlink ref="E97" r:id="rId191" display="356 South Ave"/>
    <hyperlink ref="P97" r:id="rId192" display="whitman-company.com"/>
    <hyperlink ref="E98" r:id="rId193" display="PO Box 119 (call ahead)"/>
    <hyperlink ref="P98" r:id="rId194" display="defenseinvestigatorsgroup.com"/>
    <hyperlink ref="E99" r:id="rId195" display="380 North Ave"/>
    <hyperlink ref="P99" r:id="rId196" display="walshmechanical.com"/>
    <hyperlink ref="E100" r:id="rId197" display="1069 W Washington St"/>
    <hyperlink ref="P100" r:id="rId198" display="websterprinting.com"/>
    <hyperlink ref="E101" r:id="rId199" display="72 Raynor Ave"/>
    <hyperlink ref="P101" r:id="rId200" display="whitmantoolanddie.com"/>
    <hyperlink ref="E102" r:id="rId201" display="243 Franklin St"/>
    <hyperlink ref="P102" r:id="rId202" display="presidenttitanium.com"/>
    <hyperlink ref="E103" r:id="rId203" display="162 Industrial Blvd, Ste 4"/>
    <hyperlink ref="P103" r:id="rId204" display="clean-systems.com"/>
    <hyperlink ref="E104" r:id="rId205" display="536 Washington St"/>
    <hyperlink ref="P104" r:id="rId206" display="angelshealthcare.com"/>
    <hyperlink ref="E105" r:id="rId207" display="1530 Main St"/>
    <hyperlink ref="P105" r:id="rId208" display="southshorebank.com"/>
    <hyperlink ref="E106" r:id="rId209" display="180 King Ave"/>
    <hyperlink ref="P106" r:id="rId210" display="electroswitch.com"/>
    <hyperlink ref="E107" r:id="rId211" display="195 Washington St"/>
    <hyperlink ref="P107" r:id="rId212" display="coastalheritagebank.com"/>
    <hyperlink ref="E108" r:id="rId213" display="223 Chief Justice Cushing Hwy Ste 101"/>
    <hyperlink ref="P108" r:id="rId214" display="healthcaresouth.com"/>
    <hyperlink ref="E109" r:id="rId215" display="280 Lincoln St"/>
    <hyperlink ref="P109" r:id="rId216" display="massa.com"/>
    <hyperlink ref="E110" r:id="rId217" display="55 Main St"/>
    <hyperlink ref="P110" r:id="rId218" display="hinghamsavings.com"/>
    <hyperlink ref="E111" r:id="rId219" display="165 Chief Justice Cushing Hwy"/>
    <hyperlink ref="P111" r:id="rId220" display="hinghamlumber.com"/>
    <hyperlink ref="E112" r:id="rId221" display="110 Industrial Park Rd"/>
    <hyperlink ref="P112" r:id="rId222" display="dynavac.com"/>
    <hyperlink ref="E113" r:id="rId223" display="2 Pond Park Rd Ste 102"/>
    <hyperlink ref="P113" r:id="rId224" display="southshoreorthopedics.com"/>
    <hyperlink ref="E114" r:id="rId225" display="809 Country Way"/>
    <hyperlink ref="P114" r:id="rId226" display="ajaint.com"/>
    <hyperlink ref="E115" r:id="rId227" display="260 Libbey Industrial Pkwy"/>
    <hyperlink ref="P115" r:id="rId228" display="egsawyer.com"/>
    <hyperlink ref="E116" r:id="rId229" display="44 Woodrock Rd Ste 1"/>
    <hyperlink ref="P116" r:id="rId230" display="haroldbros.com"/>
    <hyperlink ref="E117" r:id="rId231" display="94 Otis St"/>
    <hyperlink ref="P117" r:id="rId232" display="harborclinical.com"/>
    <hyperlink ref="E118" r:id="rId233" display="21 Fottler Rd"/>
    <hyperlink ref="P118" r:id="rId234" display="wellnessworkdays.com"/>
    <hyperlink ref="E119" r:id="rId235" display="1 Mill Wharf Plz Ste S12"/>
    <hyperlink ref="P119" r:id="rId236" display="o2x.com"/>
    <hyperlink ref="E120" r:id="rId237" display="50 Recreation Park Dr"/>
    <hyperlink ref="P120" r:id="rId238" display="queenannenh.com"/>
    <hyperlink ref="E121" r:id="rId239" display="72 Sharp St Ste C8"/>
    <hyperlink ref="P121" r:id="rId240" display="mcdonaldcorp.com"/>
    <hyperlink ref="E122" r:id="rId241" display="190 Old Derby St Ste 304"/>
    <hyperlink ref="P122" r:id="rId242" display="newenglandhospice.com"/>
    <hyperlink ref="E123" r:id="rId243" display="55 Industrial Park Rd"/>
    <hyperlink ref="P123" r:id="rId244" display="henniganengineering.com"/>
    <hyperlink ref="E124" r:id="rId245" display="50 Pond Park Rd"/>
    <hyperlink ref="P124" r:id="rId246" display="hartsupply.com"/>
    <hyperlink ref="E125" r:id="rId247" display="293 Libbey Industrial Pkwy Ste 500"/>
    <hyperlink ref="P125" r:id="rId248" display="boxerbrand.com"/>
    <hyperlink ref="E126" r:id="rId249" display="100 Congress St Ste 2"/>
    <hyperlink ref="P126" r:id="rId250" display="baystatemilling.com"/>
    <hyperlink ref="E127" r:id="rId251" display="110 W Squantum St Ste 8"/>
    <hyperlink ref="P127" r:id="rId252" display="manetchc.org"/>
    <hyperlink ref="E128" r:id="rId253" display="57 Washington St"/>
    <hyperlink ref="P128" r:id="rId254" display="newenglandmutual.com"/>
    <hyperlink ref="E129" r:id="rId255" display="13 Temple St Fl 1"/>
    <hyperlink ref="P129" r:id="rId256" display="xsbrokers.com"/>
    <hyperlink ref="E130" r:id="rId257" display="780 Washington St"/>
    <hyperlink ref="P130" r:id="rId258" display="twinriverstechnologies.com"/>
    <hyperlink ref="E131" r:id="rId259" display="300 Crown Colony Dr Ste 203"/>
    <hyperlink ref="P131" r:id="rId260" display="mcmcllc.com"/>
    <hyperlink ref="E132" r:id="rId261" display="19 Quincy Ave"/>
    <hyperlink ref="P132" r:id="rId262" display="granitecityelectric.com"/>
    <hyperlink ref="E133" r:id="rId263" display="122 Quincy Shore Dr"/>
    <hyperlink ref="P133" r:id="rId264" display="leekennedy.com"/>
    <hyperlink ref="E134" r:id="rId265" display="1120 Hancock St"/>
    <hyperlink ref="P134" r:id="rId266" display="baystatecs.org"/>
    <hyperlink ref="E135" r:id="rId267" display="1250 Hancock St Ste 501S"/>
    <hyperlink ref="P135" r:id="rId268" display="bestofcareinc.com"/>
    <hyperlink ref="E136" r:id="rId269" display="500 Victory Rd Ste 5"/>
    <hyperlink ref="P136" r:id="rId270" display="hmrproperties.com"/>
    <hyperlink ref="E137" r:id="rId271" display="288 Washington St"/>
    <hyperlink ref="P137" r:id="rId272" display="southcovemanor.org"/>
    <hyperlink ref="E138" r:id="rId273" display="859 Willard St"/>
    <hyperlink ref="P138" r:id="rId274" display="dellbrookjks.com"/>
    <hyperlink ref="E139" r:id="rId275" display="500 Victory Rd Ste 301"/>
    <hyperlink ref="P139" r:id="rId276" display="stran.com"/>
    <hyperlink ref="E140" r:id="rId277" display="3 Batterymarch Park Fl 5"/>
    <hyperlink ref="P140" r:id="rId278" display="jcalnan.com"/>
    <hyperlink ref="E141" r:id="rId279" display="1250 Hancock St Ste 802N"/>
    <hyperlink ref="P141" r:id="rId280" display="magellanjets.com"/>
    <hyperlink ref="E142" r:id="rId281" display="1900 Crown Colony Dr Ste 402"/>
    <hyperlink ref="P142" r:id="rId282" display="envpartners.com"/>
    <hyperlink ref="E143" r:id="rId283" display="1100 Crown Colony Dr"/>
    <hyperlink ref="P143" r:id="rId284" display="arbella.com"/>
    <hyperlink ref="E144" r:id="rId285" display="700 Congress St Ste 204"/>
    <hyperlink ref="P144" r:id="rId286" display="shields.com"/>
    <hyperlink ref="E145" r:id="rId287" display="77 Industrial Park Rd"/>
    <hyperlink ref="P145" r:id="rId288" display="cdf1.com"/>
    <hyperlink ref="E146" r:id="rId289" display="290 Kingstown Way"/>
    <hyperlink ref="P146" r:id="rId290" display="welchhrg.com"/>
    <hyperlink ref="E147" r:id="rId291" display="70 Armstrong Rd"/>
    <hyperlink ref="P147" r:id="rId292" display="suncorstainless.com"/>
    <hyperlink ref="E148" r:id="rId293" display="180 Enterprise Dr"/>
    <hyperlink ref="P148" r:id="rId294" display="ksp.com"/>
    <hyperlink ref="E149" r:id="rId295" display="70 Industrial Park Rd"/>
    <hyperlink ref="P149" r:id="rId296" display="vptec.com"/>
    <hyperlink ref="E150" r:id="rId297" display="41 Resnik Rd"/>
    <hyperlink ref="P150" r:id="rId298" display="pbortho.com"/>
    <hyperlink ref="E151" r:id="rId299" display="45 Aldrin Rd"/>
    <hyperlink ref="P151" r:id="rId300" display="techetch.com"/>
    <hyperlink ref="E152" r:id="rId301" display="2 Main St Ste 2A"/>
    <hyperlink ref="P152" r:id="rId302" display="learnwell.com"/>
    <hyperlink ref="E153" r:id="rId303" display="10 Washington St"/>
    <hyperlink ref="P153" r:id="rId304" display="vercenterprises.com"/>
    <hyperlink ref="E154" r:id="rId305" display="475 School St Ste 11"/>
    <hyperlink ref="P154" r:id="rId306" display="keville.com"/>
    <hyperlink ref="E155" r:id="rId307" display="1831 Ocean St"/>
    <hyperlink ref="P155" r:id="rId308" display="roadtoresponsibility.org"/>
    <hyperlink ref="E156" r:id="rId309" display="434 Court St"/>
    <hyperlink ref="P156" r:id="rId310" display="hac.center"/>
    <hyperlink ref="E157" r:id="rId311" display="165 Enterprise Dr"/>
    <hyperlink ref="P157" r:id="rId312" display="unitedelevatorcorp.com"/>
    <hyperlink ref="E158" r:id="rId313" display="10 Cordage Park Cir Ste 212"/>
    <hyperlink ref="P158" r:id="rId314" display="coolgearinc.com"/>
    <hyperlink ref="E159" r:id="rId315" display="40 Lone St"/>
    <hyperlink ref="P159" r:id="rId316" display="induscom.com"/>
    <hyperlink ref="E160" r:id="rId317" display="35 Elder Ave"/>
    <hyperlink ref="P160" r:id="rId318" display="sheehanfamilycompanies.com"/>
    <hyperlink ref="E161" r:id="rId319" display="40 Grissom Rd Ste 100"/>
    <hyperlink ref="P161" r:id="rId320" display="smartpakequine.com"/>
    <hyperlink ref="E162" r:id="rId321" display="225 Water St Ste B238"/>
    <hyperlink ref="P162" r:id="rId322" display="elfc.com"/>
    <hyperlink ref="E163" r:id="rId323" display="319 Manley St"/>
    <hyperlink ref="P163" r:id="rId324" display="ee-co.com"/>
    <hyperlink ref="E164" r:id="rId325" display="20 Eastman St"/>
    <hyperlink ref="P164" r:id="rId326" display="northeastonsavingsbank.com"/>
    <hyperlink ref="E165" r:id="rId327" display="10 Minuteman Way"/>
    <hyperlink ref="P165" r:id="rId328" display="concordfoods.com"/>
    <hyperlink ref="E166" r:id="rId329" display="4 Manley St"/>
    <hyperlink ref="P166" r:id="rId330" display="rexa.com"/>
    <hyperlink ref="E167" r:id="rId331" display="1 Norfolk Ave Ste 1"/>
    <hyperlink ref="P167" r:id="rId332" display="pharmasol.com"/>
    <hyperlink ref="E168" r:id="rId333" display="1300 Belmont St"/>
    <hyperlink ref="P168" r:id="rId334" display="scucu.com"/>
    <hyperlink ref="E169" r:id="rId335" display="10 Burke Dr"/>
    <hyperlink ref="P169" r:id="rId336" display="lyne.com"/>
    <hyperlink ref="E170" r:id="rId337" display="208 Manley St"/>
    <hyperlink ref="P170" r:id="rId338" display="shawmutcorporation.com"/>
    <hyperlink ref="E171" r:id="rId339" display="1115 W Chestnut St Ste 9"/>
    <hyperlink ref="P171" r:id="rId340" display="jonesandvining.com"/>
    <hyperlink ref="E172" r:id="rId341" display="63 Main St"/>
    <hyperlink ref="P172" r:id="rId342" display="bnhc.org"/>
    <hyperlink ref="E173" r:id="rId343" display="21 Pacella Park Dr"/>
    <hyperlink ref="P173" r:id="rId344" display="coxeng.com"/>
    <hyperlink ref="E174" r:id="rId345" display="1 United Dr"/>
    <hyperlink ref="P174" r:id="rId346" display="cheerpack.com"/>
    <hyperlink ref="E175" r:id="rId347" display="89 Teed Dr"/>
    <hyperlink ref="P175" r:id="rId348" display="burkedist.com"/>
    <hyperlink ref="E176" r:id="rId349" display="30 Doherty Ave"/>
    <hyperlink ref="P176" r:id="rId350" display="cervos.com"/>
    <hyperlink ref="E177" r:id="rId351" display="1 Jonathan Dr"/>
    <hyperlink ref="P177" r:id="rId352" display="gtrmfg.com"/>
    <hyperlink ref="E178" r:id="rId353" display="65 York Ave"/>
    <hyperlink ref="P178" r:id="rId354" display="frankirounds.com"/>
    <hyperlink ref="E179" r:id="rId355" display="23 Norfolk Ave Ste E"/>
    <hyperlink ref="P179" r:id="rId356" display="willworkinc.com"/>
    <hyperlink ref="E180" r:id="rId357" display="14 Norfolk Ave"/>
    <hyperlink ref="P180" r:id="rId358" display="gorelco.com"/>
    <hyperlink ref="E181" r:id="rId359" display="625 Bodwell Street Ext Ste A"/>
    <hyperlink ref="P181" r:id="rId360" display="rubywines.com"/>
    <hyperlink ref="E182" r:id="rId361" display="105 Bodwell St"/>
    <hyperlink ref="P182" r:id="rId362" display="weiss-sheetmetal.com"/>
    <hyperlink ref="E183" r:id="rId363" display="36 Norfolk Ave"/>
    <hyperlink ref="P183" r:id="rId364" display="centralceilings.com"/>
    <hyperlink ref="E184" r:id="rId365" display="525 Bodwell Street Ext Ste 1"/>
    <hyperlink ref="P184" r:id="rId366" display="aqualeisure.com"/>
    <hyperlink ref="E185" r:id="rId367" display="50 United Dr"/>
    <hyperlink ref="P185" r:id="rId368" display="equalexchange.coop"/>
    <hyperlink ref="E186" r:id="rId369" display="14 Pacella Park Dr"/>
    <hyperlink ref="P186" r:id="rId370" display="mayinstitute.org"/>
    <hyperlink ref="E187" r:id="rId371" display="68 Legion Pkwy"/>
    <hyperlink ref="P187" r:id="rId372" display="harborone.com"/>
    <hyperlink ref="E188" r:id="rId373" display="284 Bodwell St"/>
    <hyperlink ref="P188" r:id="rId374" display="ipclydon.com"/>
    <hyperlink ref="E189" r:id="rId375" display="120 Royall St"/>
    <hyperlink ref="P189" r:id="rId376" display="bostonmutual.com"/>
    <hyperlink ref="E190" r:id="rId377" display="95 N Franklin St"/>
    <hyperlink ref="P190" r:id="rId378" display="abingtonbank.com"/>
    <hyperlink ref="E191" r:id="rId379" display="17 Campanelli Pkwy"/>
    <hyperlink ref="P191" r:id="rId380" display="franklinsports.com"/>
    <hyperlink ref="E192" r:id="rId381" display="315 Norwood Park S, Fl 2"/>
    <hyperlink ref="P192" r:id="rId382" display="beta-inc.com"/>
    <hyperlink ref="E193" r:id="rId383" display="25 North St"/>
    <hyperlink ref="P193" r:id="rId384" display="aefireinc.com"/>
    <hyperlink ref="E194" r:id="rId385" display="200 Commerce Dr"/>
    <hyperlink ref="P194" r:id="rId386" display="channelfish.com"/>
    <hyperlink ref="E195" r:id="rId387" display="480 Neponset St, Ste 11D"/>
    <hyperlink ref="P195" r:id="rId388" display="enesystems.com"/>
    <hyperlink ref="E196" r:id="rId389" display="360 Forbes Blvd"/>
    <hyperlink ref="P196" r:id="rId390" display="lacerta.com"/>
    <hyperlink ref="E197" r:id="rId391" display="1075 Providence Hwy"/>
    <hyperlink ref="P197" r:id="rId392" display="metalbellows.com"/>
    <hyperlink ref="E198" r:id="rId393" display="10 Lincoln Rd Ste 110"/>
    <hyperlink ref="P198" r:id="rId394" display="connectpayusa.com"/>
    <hyperlink ref="E199" r:id="rId395" display="111 S Worcester St"/>
    <hyperlink ref="P199" r:id="rId396" display="cpstechnologysolutions.com"/>
    <hyperlink ref="E200" r:id="rId397" display="110 Forbes Blvd"/>
    <hyperlink ref="P200" r:id="rId398" display="provenprocess.com"/>
    <hyperlink ref="E201" r:id="rId399" display="10 Walpole Park S"/>
    <hyperlink ref="P201" r:id="rId400" display="acumentrics.com"/>
    <hyperlink ref="E202" r:id="rId401" display="51 Francis Ave"/>
    <hyperlink ref="P202" r:id="rId402" display="clinicalsciencelab.com"/>
    <hyperlink ref="E203" r:id="rId403" display="222 Mansfield Ave"/>
    <hyperlink ref="P203" r:id="rId404" display="newenglandicecream.com"/>
    <hyperlink ref="E204" r:id="rId405" display="35 Panas Rd"/>
    <hyperlink ref="P204" r:id="rId406" display="aerogloballogistics.com"/>
    <hyperlink ref="E205" r:id="rId407" display="1 Commercial St"/>
    <hyperlink ref="P205" r:id="rId408" display="kdc.org"/>
    <hyperlink ref="E206" r:id="rId409" display="905b S Main St Ste 203"/>
    <hyperlink ref="P206" r:id="rId410" display="nexdine.com"/>
    <hyperlink ref="E207" r:id="rId411" display="141 Norfolk St"/>
    <hyperlink ref="P207" r:id="rId412" display="islandoasis.com"/>
    <hyperlink ref="E208" r:id="rId413" display="111 Plymouth St"/>
    <hyperlink ref="P208" r:id="rId414" display="belknapwhite.com"/>
    <hyperlink ref="E209" r:id="rId415" display="1205 Providence Hwy"/>
    <hyperlink ref="P209" r:id="rId416" display="charlesriverapparel.com"/>
    <hyperlink ref="E210" r:id="rId417" display="157 Green St"/>
    <hyperlink ref="P210" r:id="rId418" display="accutechpkg.com"/>
    <hyperlink ref="E211" r:id="rId419" display="124 Washington St Ste 101"/>
    <hyperlink ref="P211" r:id="rId420" display="payton-construction.com"/>
    <hyperlink ref="E212" r:id="rId421" display="7 Maple St"/>
    <hyperlink ref="P212" r:id="rId422" display="southshoremillwork.com"/>
    <hyperlink ref="E213" r:id="rId423" display="71 Hampden Rd Ste 100"/>
    <hyperlink ref="P213" r:id="rId424" display="chexfoods.com"/>
    <hyperlink ref="E214" r:id="rId425" display="15 Berkshire Rd Ste B"/>
    <hyperlink ref="P214" r:id="rId426" display="hrknowledge.com"/>
    <hyperlink ref="E215" r:id="rId427" display="603 West St"/>
    <hyperlink ref="P215" r:id="rId428" display="eclinicalsol.com"/>
    <hyperlink ref="E216" r:id="rId429" display="202 S Washington St"/>
    <hyperlink ref="P216" r:id="rId430" display="ferrymorse.com"/>
    <hyperlink ref="E217" r:id="rId431" display="25 Forbes Blvd Unit 1"/>
    <hyperlink ref="P217" r:id="rId432" display="aetco.us"/>
    <hyperlink ref="E218" r:id="rId433" display="703 Granite St, Ste 300"/>
    <hyperlink ref="P218" r:id="rId434" display="baystatept.com"/>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435"/>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A1B9A"/>
    <pageSetUpPr fitToPage="false"/>
  </sheetPr>
  <dimension ref="A1:I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3"/>
    <col collapsed="false" customWidth="true" hidden="false" outlineLevel="0" max="2" min="2" style="0" width="30"/>
    <col collapsed="false" customWidth="true" hidden="false" outlineLevel="0" max="3" min="3" style="0" width="18"/>
    <col collapsed="false" customWidth="true" hidden="false" outlineLevel="0" max="4" min="4" style="0" width="5"/>
    <col collapsed="false" customWidth="true" hidden="false" outlineLevel="0" max="5" min="5" style="0" width="20"/>
    <col collapsed="false" customWidth="true" hidden="false" outlineLevel="0" max="6" min="6" style="0" width="24"/>
    <col collapsed="false" customWidth="true" hidden="false" outlineLevel="0" max="7" min="7" style="0" width="14"/>
    <col collapsed="false" customWidth="true" hidden="false" outlineLevel="0" max="8" min="8" style="0" width="24"/>
    <col collapsed="false" customWidth="true" hidden="false" outlineLevel="0" max="9" min="9" style="0" width="52"/>
  </cols>
  <sheetData>
    <row r="1" customFormat="false" ht="17.35" hidden="false" customHeight="false" outlineLevel="0" collapsed="false">
      <c r="A1" s="27" t="s">
        <v>1757</v>
      </c>
    </row>
    <row r="2" customFormat="false" ht="15" hidden="false" customHeight="false" outlineLevel="0" collapsed="false">
      <c r="A2" s="2" t="s">
        <v>1758</v>
      </c>
    </row>
    <row r="4" customFormat="false" ht="15" hidden="false" customHeight="false" outlineLevel="0" collapsed="false">
      <c r="A4" s="28" t="s">
        <v>26</v>
      </c>
      <c r="B4" s="28" t="s">
        <v>42</v>
      </c>
      <c r="C4" s="28" t="s">
        <v>1759</v>
      </c>
      <c r="D4" s="28" t="s">
        <v>1760</v>
      </c>
      <c r="E4" s="28" t="s">
        <v>1761</v>
      </c>
      <c r="F4" s="28" t="s">
        <v>1762</v>
      </c>
      <c r="G4" s="28" t="s">
        <v>46</v>
      </c>
      <c r="H4" s="28" t="s">
        <v>1763</v>
      </c>
      <c r="I4" s="28" t="s">
        <v>56</v>
      </c>
    </row>
    <row r="5" customFormat="false" ht="27.75" hidden="false" customHeight="true" outlineLevel="0" collapsed="false">
      <c r="A5" s="29" t="s">
        <v>1764</v>
      </c>
      <c r="B5" s="14" t="s">
        <v>1765</v>
      </c>
      <c r="C5" s="14" t="s">
        <v>1348</v>
      </c>
      <c r="D5" s="14" t="s">
        <v>1766</v>
      </c>
      <c r="E5" s="30" t="s">
        <v>1767</v>
      </c>
      <c r="F5" s="14" t="s">
        <v>1768</v>
      </c>
      <c r="G5" s="14" t="s">
        <v>1769</v>
      </c>
      <c r="H5" s="15" t="s">
        <v>1770</v>
      </c>
      <c r="I5" s="15" t="s">
        <v>1771</v>
      </c>
    </row>
    <row r="6" customFormat="false" ht="27.75" hidden="false" customHeight="true" outlineLevel="0" collapsed="false">
      <c r="A6" s="29" t="s">
        <v>1764</v>
      </c>
      <c r="B6" s="14" t="s">
        <v>1772</v>
      </c>
      <c r="C6" s="14" t="s">
        <v>477</v>
      </c>
      <c r="D6" s="14" t="s">
        <v>1766</v>
      </c>
      <c r="E6" s="30" t="s">
        <v>1767</v>
      </c>
      <c r="F6" s="14" t="s">
        <v>543</v>
      </c>
      <c r="G6" s="14" t="s">
        <v>544</v>
      </c>
      <c r="H6" s="15" t="s">
        <v>1773</v>
      </c>
      <c r="I6" s="15" t="s">
        <v>1774</v>
      </c>
    </row>
    <row r="7" customFormat="false" ht="27.75" hidden="false" customHeight="true" outlineLevel="0" collapsed="false">
      <c r="A7" s="31" t="s">
        <v>1775</v>
      </c>
      <c r="B7" s="14" t="s">
        <v>369</v>
      </c>
      <c r="C7" s="14" t="s">
        <v>257</v>
      </c>
      <c r="D7" s="14" t="s">
        <v>1766</v>
      </c>
      <c r="E7" s="30" t="s">
        <v>1767</v>
      </c>
      <c r="F7" s="14" t="s">
        <v>364</v>
      </c>
      <c r="G7" s="14" t="s">
        <v>1776</v>
      </c>
      <c r="H7" s="15" t="s">
        <v>1777</v>
      </c>
      <c r="I7" s="15" t="s">
        <v>1778</v>
      </c>
    </row>
    <row r="8" customFormat="false" ht="27.75" hidden="false" customHeight="true" outlineLevel="0" collapsed="false">
      <c r="A8" s="32" t="s">
        <v>1779</v>
      </c>
      <c r="B8" s="14" t="s">
        <v>1780</v>
      </c>
      <c r="C8" s="14" t="s">
        <v>1205</v>
      </c>
      <c r="D8" s="14" t="s">
        <v>1766</v>
      </c>
      <c r="E8" s="30" t="s">
        <v>1767</v>
      </c>
      <c r="F8" s="14" t="s">
        <v>1781</v>
      </c>
      <c r="G8" s="14" t="s">
        <v>1782</v>
      </c>
      <c r="H8" s="15" t="s">
        <v>1783</v>
      </c>
      <c r="I8" s="15" t="s">
        <v>1784</v>
      </c>
    </row>
    <row r="9" customFormat="false" ht="27.75" hidden="false" customHeight="true" outlineLevel="0" collapsed="false">
      <c r="A9" s="32" t="s">
        <v>1779</v>
      </c>
      <c r="B9" s="14" t="s">
        <v>1785</v>
      </c>
      <c r="C9" s="14" t="s">
        <v>1205</v>
      </c>
      <c r="D9" s="14" t="s">
        <v>1766</v>
      </c>
      <c r="E9" s="30" t="s">
        <v>1767</v>
      </c>
      <c r="F9" s="14" t="s">
        <v>1786</v>
      </c>
      <c r="G9" s="14"/>
      <c r="H9" s="15" t="s">
        <v>1787</v>
      </c>
      <c r="I9" s="15" t="s">
        <v>1788</v>
      </c>
    </row>
    <row r="10" customFormat="false" ht="27.75" hidden="false" customHeight="true" outlineLevel="0" collapsed="false">
      <c r="A10" s="33" t="s">
        <v>1789</v>
      </c>
      <c r="B10" s="14" t="s">
        <v>1790</v>
      </c>
      <c r="C10" s="14" t="s">
        <v>1791</v>
      </c>
      <c r="D10" s="14" t="s">
        <v>1766</v>
      </c>
      <c r="E10" s="30" t="s">
        <v>1767</v>
      </c>
      <c r="F10" s="14" t="s">
        <v>1792</v>
      </c>
      <c r="G10" s="14"/>
      <c r="H10" s="15" t="s">
        <v>1793</v>
      </c>
      <c r="I10" s="15" t="s">
        <v>1794</v>
      </c>
    </row>
    <row r="11" customFormat="false" ht="27.75" hidden="false" customHeight="true" outlineLevel="0" collapsed="false">
      <c r="A11" s="29" t="s">
        <v>1764</v>
      </c>
      <c r="B11" s="14" t="s">
        <v>1795</v>
      </c>
      <c r="C11" s="14" t="s">
        <v>1796</v>
      </c>
      <c r="D11" s="14" t="s">
        <v>1766</v>
      </c>
      <c r="E11" s="14" t="s">
        <v>1797</v>
      </c>
      <c r="F11" s="14"/>
      <c r="G11" s="14"/>
      <c r="H11" s="15" t="s">
        <v>1798</v>
      </c>
      <c r="I11" s="15"/>
    </row>
    <row r="12" customFormat="false" ht="27.75" hidden="false" customHeight="true" outlineLevel="0" collapsed="false">
      <c r="A12" s="29" t="s">
        <v>1764</v>
      </c>
      <c r="B12" s="14" t="s">
        <v>1799</v>
      </c>
      <c r="C12" s="14" t="s">
        <v>1800</v>
      </c>
      <c r="D12" s="14" t="s">
        <v>1801</v>
      </c>
      <c r="E12" s="14" t="s">
        <v>1797</v>
      </c>
      <c r="F12" s="14"/>
      <c r="G12" s="14"/>
      <c r="H12" s="15" t="s">
        <v>1798</v>
      </c>
      <c r="I12" s="15" t="s">
        <v>1802</v>
      </c>
    </row>
    <row r="13" customFormat="false" ht="27.75" hidden="false" customHeight="true" outlineLevel="0" collapsed="false">
      <c r="A13" s="29" t="s">
        <v>1764</v>
      </c>
      <c r="B13" s="14" t="s">
        <v>1803</v>
      </c>
      <c r="C13" s="14" t="s">
        <v>1804</v>
      </c>
      <c r="D13" s="14" t="s">
        <v>1766</v>
      </c>
      <c r="E13" s="14" t="s">
        <v>1797</v>
      </c>
      <c r="F13" s="14"/>
      <c r="G13" s="14"/>
      <c r="H13" s="15" t="s">
        <v>1798</v>
      </c>
      <c r="I13" s="15"/>
    </row>
    <row r="14" customFormat="false" ht="27.75" hidden="false" customHeight="true" outlineLevel="0" collapsed="false">
      <c r="A14" s="29" t="s">
        <v>1764</v>
      </c>
      <c r="B14" s="14" t="s">
        <v>1805</v>
      </c>
      <c r="C14" s="14" t="s">
        <v>1806</v>
      </c>
      <c r="D14" s="14" t="s">
        <v>1801</v>
      </c>
      <c r="E14" s="14" t="s">
        <v>1797</v>
      </c>
      <c r="F14" s="14"/>
      <c r="G14" s="14"/>
      <c r="H14" s="15" t="s">
        <v>1798</v>
      </c>
      <c r="I14" s="15" t="s">
        <v>1807</v>
      </c>
    </row>
    <row r="15" customFormat="false" ht="27.75" hidden="false" customHeight="true" outlineLevel="0" collapsed="false">
      <c r="A15" s="29" t="s">
        <v>1764</v>
      </c>
      <c r="B15" s="14" t="s">
        <v>1808</v>
      </c>
      <c r="C15" s="14" t="s">
        <v>1809</v>
      </c>
      <c r="D15" s="14" t="s">
        <v>1766</v>
      </c>
      <c r="E15" s="14" t="s">
        <v>1797</v>
      </c>
      <c r="F15" s="14" t="s">
        <v>1810</v>
      </c>
      <c r="G15" s="14" t="s">
        <v>1811</v>
      </c>
      <c r="H15" s="15" t="s">
        <v>1798</v>
      </c>
      <c r="I15" s="15" t="s">
        <v>1812</v>
      </c>
    </row>
    <row r="16" customFormat="false" ht="27.75" hidden="false" customHeight="true" outlineLevel="0" collapsed="false">
      <c r="A16" s="29" t="s">
        <v>1764</v>
      </c>
      <c r="B16" s="14" t="s">
        <v>1813</v>
      </c>
      <c r="C16" s="14" t="s">
        <v>1814</v>
      </c>
      <c r="D16" s="14" t="s">
        <v>1766</v>
      </c>
      <c r="E16" s="14" t="s">
        <v>1797</v>
      </c>
      <c r="F16" s="14" t="s">
        <v>1815</v>
      </c>
      <c r="G16" s="14" t="s">
        <v>1816</v>
      </c>
      <c r="H16" s="15" t="s">
        <v>1798</v>
      </c>
      <c r="I16" s="15" t="s">
        <v>1817</v>
      </c>
    </row>
    <row r="17" customFormat="false" ht="27.75" hidden="false" customHeight="true" outlineLevel="0" collapsed="false">
      <c r="A17" s="31" t="s">
        <v>1775</v>
      </c>
      <c r="B17" s="14" t="s">
        <v>1818</v>
      </c>
      <c r="C17" s="14" t="s">
        <v>1819</v>
      </c>
      <c r="D17" s="14" t="s">
        <v>1766</v>
      </c>
      <c r="E17" s="14" t="s">
        <v>1797</v>
      </c>
      <c r="F17" s="14"/>
      <c r="G17" s="14"/>
      <c r="H17" s="15" t="s">
        <v>1820</v>
      </c>
      <c r="I17" s="15"/>
    </row>
    <row r="18" customFormat="false" ht="27.75" hidden="false" customHeight="true" outlineLevel="0" collapsed="false">
      <c r="A18" s="31" t="s">
        <v>1775</v>
      </c>
      <c r="B18" s="14" t="s">
        <v>1821</v>
      </c>
      <c r="C18" s="14" t="s">
        <v>1822</v>
      </c>
      <c r="D18" s="14" t="s">
        <v>1766</v>
      </c>
      <c r="E18" s="14" t="s">
        <v>1797</v>
      </c>
      <c r="F18" s="14"/>
      <c r="G18" s="14"/>
      <c r="H18" s="15" t="s">
        <v>1820</v>
      </c>
      <c r="I18" s="15" t="s">
        <v>1823</v>
      </c>
    </row>
    <row r="19" customFormat="false" ht="27.75" hidden="false" customHeight="true" outlineLevel="0" collapsed="false">
      <c r="A19" s="31" t="s">
        <v>1775</v>
      </c>
      <c r="B19" s="14" t="s">
        <v>1824</v>
      </c>
      <c r="C19" s="14" t="s">
        <v>1825</v>
      </c>
      <c r="D19" s="14" t="s">
        <v>1766</v>
      </c>
      <c r="E19" s="14" t="s">
        <v>1797</v>
      </c>
      <c r="F19" s="14" t="s">
        <v>1826</v>
      </c>
      <c r="G19" s="14" t="s">
        <v>1827</v>
      </c>
      <c r="H19" s="15" t="s">
        <v>1828</v>
      </c>
      <c r="I19" s="15"/>
    </row>
    <row r="20" customFormat="false" ht="27.75" hidden="false" customHeight="true" outlineLevel="0" collapsed="false">
      <c r="A20" s="31" t="s">
        <v>1775</v>
      </c>
      <c r="B20" s="14" t="s">
        <v>1829</v>
      </c>
      <c r="C20" s="14" t="s">
        <v>1796</v>
      </c>
      <c r="D20" s="14" t="s">
        <v>1766</v>
      </c>
      <c r="E20" s="14" t="s">
        <v>1797</v>
      </c>
      <c r="F20" s="14"/>
      <c r="G20" s="14"/>
      <c r="H20" s="15" t="s">
        <v>1820</v>
      </c>
      <c r="I20" s="15"/>
    </row>
    <row r="21" customFormat="false" ht="27.75" hidden="false" customHeight="true" outlineLevel="0" collapsed="false">
      <c r="A21" s="31" t="s">
        <v>1775</v>
      </c>
      <c r="B21" s="14" t="s">
        <v>1830</v>
      </c>
      <c r="C21" s="14" t="s">
        <v>1831</v>
      </c>
      <c r="D21" s="14" t="s">
        <v>1766</v>
      </c>
      <c r="E21" s="14" t="s">
        <v>1797</v>
      </c>
      <c r="F21" s="14"/>
      <c r="G21" s="14"/>
      <c r="H21" s="15" t="s">
        <v>1820</v>
      </c>
      <c r="I21" s="15" t="s">
        <v>1832</v>
      </c>
    </row>
    <row r="22" customFormat="false" ht="27.75" hidden="false" customHeight="true" outlineLevel="0" collapsed="false">
      <c r="A22" s="31" t="s">
        <v>1775</v>
      </c>
      <c r="B22" s="14" t="s">
        <v>1833</v>
      </c>
      <c r="C22" s="14" t="s">
        <v>1796</v>
      </c>
      <c r="D22" s="14" t="s">
        <v>1766</v>
      </c>
      <c r="E22" s="14" t="s">
        <v>1797</v>
      </c>
      <c r="F22" s="14" t="s">
        <v>1834</v>
      </c>
      <c r="G22" s="14"/>
      <c r="H22" s="15" t="s">
        <v>1828</v>
      </c>
      <c r="I22" s="15" t="s">
        <v>1835</v>
      </c>
    </row>
    <row r="23" customFormat="false" ht="27.75" hidden="false" customHeight="true" outlineLevel="0" collapsed="false">
      <c r="A23" s="31" t="s">
        <v>1775</v>
      </c>
      <c r="B23" s="14" t="s">
        <v>1836</v>
      </c>
      <c r="C23" s="14" t="s">
        <v>1796</v>
      </c>
      <c r="D23" s="14" t="s">
        <v>1766</v>
      </c>
      <c r="E23" s="14" t="s">
        <v>1797</v>
      </c>
      <c r="F23" s="14"/>
      <c r="G23" s="14"/>
      <c r="H23" s="15" t="s">
        <v>1828</v>
      </c>
      <c r="I23" s="15" t="s">
        <v>1837</v>
      </c>
    </row>
    <row r="24" customFormat="false" ht="27.75" hidden="false" customHeight="true" outlineLevel="0" collapsed="false">
      <c r="A24" s="31" t="s">
        <v>1775</v>
      </c>
      <c r="B24" s="14" t="s">
        <v>1838</v>
      </c>
      <c r="C24" s="14" t="s">
        <v>1588</v>
      </c>
      <c r="D24" s="14" t="s">
        <v>1766</v>
      </c>
      <c r="E24" s="14" t="s">
        <v>1797</v>
      </c>
      <c r="F24" s="14"/>
      <c r="G24" s="14"/>
      <c r="H24" s="15" t="s">
        <v>1828</v>
      </c>
      <c r="I24" s="15" t="s">
        <v>1839</v>
      </c>
    </row>
    <row r="25" customFormat="false" ht="27.75" hidden="false" customHeight="true" outlineLevel="0" collapsed="false">
      <c r="A25" s="31" t="s">
        <v>1775</v>
      </c>
      <c r="B25" s="14" t="s">
        <v>1840</v>
      </c>
      <c r="C25" s="14" t="s">
        <v>1841</v>
      </c>
      <c r="D25" s="14" t="s">
        <v>1766</v>
      </c>
      <c r="E25" s="14" t="s">
        <v>1797</v>
      </c>
      <c r="F25" s="14"/>
      <c r="G25" s="14"/>
      <c r="H25" s="15" t="s">
        <v>1820</v>
      </c>
      <c r="I25" s="15"/>
    </row>
    <row r="26" customFormat="false" ht="27.75" hidden="false" customHeight="true" outlineLevel="0" collapsed="false">
      <c r="A26" s="32" t="s">
        <v>1779</v>
      </c>
      <c r="B26" s="14" t="s">
        <v>1842</v>
      </c>
      <c r="C26" s="14" t="s">
        <v>1843</v>
      </c>
      <c r="D26" s="14" t="s">
        <v>1766</v>
      </c>
      <c r="E26" s="14" t="s">
        <v>1797</v>
      </c>
      <c r="F26" s="14"/>
      <c r="G26" s="14"/>
      <c r="H26" s="15" t="s">
        <v>1844</v>
      </c>
      <c r="I26" s="15" t="s">
        <v>1845</v>
      </c>
    </row>
    <row r="27" customFormat="false" ht="27.75" hidden="false" customHeight="true" outlineLevel="0" collapsed="false">
      <c r="A27" s="32" t="s">
        <v>1779</v>
      </c>
      <c r="B27" s="14" t="s">
        <v>1846</v>
      </c>
      <c r="C27" s="14" t="s">
        <v>1847</v>
      </c>
      <c r="D27" s="14" t="s">
        <v>1766</v>
      </c>
      <c r="E27" s="14" t="s">
        <v>1797</v>
      </c>
      <c r="F27" s="14"/>
      <c r="G27" s="14"/>
      <c r="H27" s="15" t="s">
        <v>1820</v>
      </c>
      <c r="I27" s="15" t="s">
        <v>1848</v>
      </c>
    </row>
    <row r="28" customFormat="false" ht="27.75" hidden="false" customHeight="true" outlineLevel="0" collapsed="false">
      <c r="A28" s="32" t="s">
        <v>1779</v>
      </c>
      <c r="B28" s="14" t="s">
        <v>1849</v>
      </c>
      <c r="C28" s="14" t="s">
        <v>1796</v>
      </c>
      <c r="D28" s="14" t="s">
        <v>1766</v>
      </c>
      <c r="E28" s="14" t="s">
        <v>1797</v>
      </c>
      <c r="F28" s="14"/>
      <c r="G28" s="14"/>
      <c r="H28" s="15" t="s">
        <v>1820</v>
      </c>
      <c r="I28" s="15" t="s">
        <v>1850</v>
      </c>
    </row>
    <row r="29" customFormat="false" ht="27.75" hidden="false" customHeight="true" outlineLevel="0" collapsed="false">
      <c r="A29" s="32" t="s">
        <v>1779</v>
      </c>
      <c r="B29" s="14" t="s">
        <v>1851</v>
      </c>
      <c r="C29" s="14" t="s">
        <v>1796</v>
      </c>
      <c r="D29" s="14" t="s">
        <v>1766</v>
      </c>
      <c r="E29" s="14" t="s">
        <v>1797</v>
      </c>
      <c r="F29" s="14"/>
      <c r="G29" s="14"/>
      <c r="H29" s="15" t="s">
        <v>1820</v>
      </c>
      <c r="I29" s="15"/>
    </row>
    <row r="30" customFormat="false" ht="27.75" hidden="false" customHeight="true" outlineLevel="0" collapsed="false">
      <c r="A30" s="32" t="s">
        <v>1779</v>
      </c>
      <c r="B30" s="14" t="s">
        <v>1852</v>
      </c>
      <c r="C30" s="14" t="s">
        <v>1588</v>
      </c>
      <c r="D30" s="14" t="s">
        <v>1766</v>
      </c>
      <c r="E30" s="14" t="s">
        <v>1797</v>
      </c>
      <c r="F30" s="14"/>
      <c r="G30" s="14"/>
      <c r="H30" s="15" t="s">
        <v>1820</v>
      </c>
      <c r="I30" s="15" t="s">
        <v>1853</v>
      </c>
    </row>
    <row r="31" customFormat="false" ht="27.75" hidden="false" customHeight="true" outlineLevel="0" collapsed="false">
      <c r="A31" s="29" t="s">
        <v>1764</v>
      </c>
      <c r="B31" s="14" t="s">
        <v>1854</v>
      </c>
      <c r="C31" s="14" t="s">
        <v>1855</v>
      </c>
      <c r="D31" s="14" t="s">
        <v>1856</v>
      </c>
      <c r="E31" s="14" t="s">
        <v>1857</v>
      </c>
      <c r="F31" s="14"/>
      <c r="G31" s="14"/>
      <c r="H31" s="15" t="s">
        <v>1858</v>
      </c>
      <c r="I31" s="15"/>
    </row>
    <row r="32" customFormat="false" ht="27.75" hidden="false" customHeight="true" outlineLevel="0" collapsed="false">
      <c r="A32" s="29" t="s">
        <v>1764</v>
      </c>
      <c r="B32" s="14" t="s">
        <v>1859</v>
      </c>
      <c r="C32" s="14" t="s">
        <v>1860</v>
      </c>
      <c r="D32" s="14" t="s">
        <v>1861</v>
      </c>
      <c r="E32" s="14" t="s">
        <v>1857</v>
      </c>
      <c r="F32" s="14"/>
      <c r="G32" s="14"/>
      <c r="H32" s="15" t="s">
        <v>1858</v>
      </c>
      <c r="I32" s="15"/>
    </row>
    <row r="33" customFormat="false" ht="27.75" hidden="false" customHeight="true" outlineLevel="0" collapsed="false">
      <c r="A33" s="29" t="s">
        <v>1764</v>
      </c>
      <c r="B33" s="14" t="s">
        <v>1862</v>
      </c>
      <c r="C33" s="14" t="s">
        <v>1863</v>
      </c>
      <c r="D33" s="14" t="s">
        <v>1864</v>
      </c>
      <c r="E33" s="14" t="s">
        <v>1857</v>
      </c>
      <c r="F33" s="14"/>
      <c r="G33" s="14"/>
      <c r="H33" s="15" t="s">
        <v>1858</v>
      </c>
      <c r="I33" s="15"/>
    </row>
    <row r="34" customFormat="false" ht="27.75" hidden="false" customHeight="true" outlineLevel="0" collapsed="false">
      <c r="A34" s="29" t="s">
        <v>1764</v>
      </c>
      <c r="B34" s="14" t="s">
        <v>1865</v>
      </c>
      <c r="C34" s="14" t="s">
        <v>1855</v>
      </c>
      <c r="D34" s="14" t="s">
        <v>1856</v>
      </c>
      <c r="E34" s="14" t="s">
        <v>1857</v>
      </c>
      <c r="F34" s="14"/>
      <c r="G34" s="14"/>
      <c r="H34" s="15" t="s">
        <v>1858</v>
      </c>
      <c r="I34" s="15"/>
    </row>
    <row r="35" customFormat="false" ht="27.75" hidden="false" customHeight="true" outlineLevel="0" collapsed="false">
      <c r="A35" s="29" t="s">
        <v>1764</v>
      </c>
      <c r="B35" s="14" t="s">
        <v>1866</v>
      </c>
      <c r="C35" s="14" t="s">
        <v>1867</v>
      </c>
      <c r="D35" s="14" t="s">
        <v>1864</v>
      </c>
      <c r="E35" s="14" t="s">
        <v>1857</v>
      </c>
      <c r="F35" s="14"/>
      <c r="G35" s="14"/>
      <c r="H35" s="15" t="s">
        <v>1858</v>
      </c>
      <c r="I35" s="15"/>
    </row>
    <row r="36" customFormat="false" ht="27.75" hidden="false" customHeight="true" outlineLevel="0" collapsed="false">
      <c r="A36" s="31" t="s">
        <v>1775</v>
      </c>
      <c r="B36" s="14" t="s">
        <v>1868</v>
      </c>
      <c r="C36" s="14" t="s">
        <v>1855</v>
      </c>
      <c r="D36" s="14" t="s">
        <v>1856</v>
      </c>
      <c r="E36" s="14" t="s">
        <v>1857</v>
      </c>
      <c r="F36" s="14"/>
      <c r="G36" s="14"/>
      <c r="H36" s="15" t="s">
        <v>1869</v>
      </c>
      <c r="I36" s="15"/>
    </row>
    <row r="37" customFormat="false" ht="27.75" hidden="false" customHeight="true" outlineLevel="0" collapsed="false">
      <c r="A37" s="31" t="s">
        <v>1775</v>
      </c>
      <c r="B37" s="14" t="s">
        <v>1870</v>
      </c>
      <c r="C37" s="14" t="s">
        <v>1871</v>
      </c>
      <c r="D37" s="14" t="s">
        <v>1766</v>
      </c>
      <c r="E37" s="14" t="s">
        <v>1857</v>
      </c>
      <c r="F37" s="14"/>
      <c r="G37" s="14"/>
      <c r="H37" s="15" t="s">
        <v>1869</v>
      </c>
      <c r="I37" s="15"/>
    </row>
    <row r="38" customFormat="false" ht="27.75" hidden="false" customHeight="true" outlineLevel="0" collapsed="false">
      <c r="A38" s="31" t="s">
        <v>1775</v>
      </c>
      <c r="B38" s="14" t="s">
        <v>1872</v>
      </c>
      <c r="C38" s="14" t="s">
        <v>1873</v>
      </c>
      <c r="D38" s="14" t="s">
        <v>1874</v>
      </c>
      <c r="E38" s="14" t="s">
        <v>1857</v>
      </c>
      <c r="F38" s="14"/>
      <c r="G38" s="14"/>
      <c r="H38" s="15" t="s">
        <v>1869</v>
      </c>
      <c r="I38" s="15"/>
    </row>
    <row r="39" customFormat="false" ht="27.75" hidden="false" customHeight="true" outlineLevel="0" collapsed="false">
      <c r="A39" s="31" t="s">
        <v>1775</v>
      </c>
      <c r="B39" s="14" t="s">
        <v>1875</v>
      </c>
      <c r="C39" s="14" t="s">
        <v>1855</v>
      </c>
      <c r="D39" s="14" t="s">
        <v>1856</v>
      </c>
      <c r="E39" s="14" t="s">
        <v>1857</v>
      </c>
      <c r="F39" s="14"/>
      <c r="G39" s="14"/>
      <c r="H39" s="15" t="s">
        <v>1869</v>
      </c>
      <c r="I39" s="15"/>
    </row>
    <row r="40" customFormat="false" ht="27.75" hidden="false" customHeight="true" outlineLevel="0" collapsed="false">
      <c r="A40" s="31" t="s">
        <v>1775</v>
      </c>
      <c r="B40" s="14" t="s">
        <v>1876</v>
      </c>
      <c r="C40" s="14" t="s">
        <v>1871</v>
      </c>
      <c r="D40" s="14" t="s">
        <v>1766</v>
      </c>
      <c r="E40" s="14" t="s">
        <v>1857</v>
      </c>
      <c r="F40" s="14"/>
      <c r="G40" s="14"/>
      <c r="H40" s="15" t="s">
        <v>1869</v>
      </c>
      <c r="I40" s="15" t="s">
        <v>1877</v>
      </c>
    </row>
    <row r="41" customFormat="false" ht="27.75" hidden="false" customHeight="true" outlineLevel="0" collapsed="false">
      <c r="A41" s="31" t="s">
        <v>1775</v>
      </c>
      <c r="B41" s="14" t="s">
        <v>1878</v>
      </c>
      <c r="C41" s="14" t="s">
        <v>1855</v>
      </c>
      <c r="D41" s="14" t="s">
        <v>1856</v>
      </c>
      <c r="E41" s="14" t="s">
        <v>1857</v>
      </c>
      <c r="F41" s="14"/>
      <c r="G41" s="14"/>
      <c r="H41" s="15" t="s">
        <v>1869</v>
      </c>
      <c r="I41" s="15"/>
    </row>
    <row r="42" customFormat="false" ht="27.75" hidden="false" customHeight="true" outlineLevel="0" collapsed="false">
      <c r="A42" s="31" t="s">
        <v>1775</v>
      </c>
      <c r="B42" s="14" t="s">
        <v>1879</v>
      </c>
      <c r="C42" s="14" t="s">
        <v>1880</v>
      </c>
      <c r="D42" s="14" t="s">
        <v>1881</v>
      </c>
      <c r="E42" s="14" t="s">
        <v>1857</v>
      </c>
      <c r="F42" s="14"/>
      <c r="G42" s="14"/>
      <c r="H42" s="15" t="s">
        <v>1869</v>
      </c>
      <c r="I42" s="15"/>
    </row>
    <row r="43" customFormat="false" ht="27.75" hidden="false" customHeight="true" outlineLevel="0" collapsed="false">
      <c r="A43" s="31" t="s">
        <v>1775</v>
      </c>
      <c r="B43" s="14" t="s">
        <v>1882</v>
      </c>
      <c r="C43" s="14" t="s">
        <v>1883</v>
      </c>
      <c r="D43" s="14" t="s">
        <v>1864</v>
      </c>
      <c r="E43" s="14" t="s">
        <v>1857</v>
      </c>
      <c r="F43" s="14"/>
      <c r="G43" s="14"/>
      <c r="H43" s="15" t="s">
        <v>1869</v>
      </c>
      <c r="I43" s="15"/>
    </row>
    <row r="44" customFormat="false" ht="27.75" hidden="false" customHeight="true" outlineLevel="0" collapsed="false">
      <c r="A44" s="31" t="s">
        <v>1775</v>
      </c>
      <c r="B44" s="14" t="s">
        <v>1884</v>
      </c>
      <c r="C44" s="14" t="s">
        <v>1885</v>
      </c>
      <c r="D44" s="14" t="s">
        <v>1886</v>
      </c>
      <c r="E44" s="14" t="s">
        <v>1857</v>
      </c>
      <c r="F44" s="14"/>
      <c r="G44" s="14"/>
      <c r="H44" s="15" t="s">
        <v>1869</v>
      </c>
      <c r="I44" s="15"/>
    </row>
    <row r="45" customFormat="false" ht="27.75" hidden="false" customHeight="true" outlineLevel="0" collapsed="false">
      <c r="A45" s="31" t="s">
        <v>1775</v>
      </c>
      <c r="B45" s="14" t="s">
        <v>1887</v>
      </c>
      <c r="C45" s="14" t="s">
        <v>1888</v>
      </c>
      <c r="D45" s="14" t="s">
        <v>1856</v>
      </c>
      <c r="E45" s="14" t="s">
        <v>1857</v>
      </c>
      <c r="F45" s="14"/>
      <c r="G45" s="14"/>
      <c r="H45" s="15" t="s">
        <v>1869</v>
      </c>
      <c r="I45" s="15"/>
    </row>
    <row r="46" customFormat="false" ht="27.75" hidden="false" customHeight="true" outlineLevel="0" collapsed="false">
      <c r="A46" s="31" t="s">
        <v>1775</v>
      </c>
      <c r="B46" s="14" t="s">
        <v>1889</v>
      </c>
      <c r="C46" s="14" t="s">
        <v>1890</v>
      </c>
      <c r="D46" s="14" t="s">
        <v>1891</v>
      </c>
      <c r="E46" s="14" t="s">
        <v>1857</v>
      </c>
      <c r="F46" s="14"/>
      <c r="G46" s="14"/>
      <c r="H46" s="15" t="s">
        <v>1869</v>
      </c>
      <c r="I46" s="15"/>
    </row>
    <row r="47" customFormat="false" ht="27.75" hidden="false" customHeight="true" outlineLevel="0" collapsed="false">
      <c r="A47" s="32" t="s">
        <v>1779</v>
      </c>
      <c r="B47" s="14" t="s">
        <v>1892</v>
      </c>
      <c r="C47" s="14" t="s">
        <v>1893</v>
      </c>
      <c r="D47" s="14" t="s">
        <v>1885</v>
      </c>
      <c r="E47" s="14" t="s">
        <v>1857</v>
      </c>
      <c r="F47" s="14"/>
      <c r="G47" s="14"/>
      <c r="H47" s="15" t="s">
        <v>1894</v>
      </c>
      <c r="I47" s="15" t="s">
        <v>1895</v>
      </c>
    </row>
    <row r="48" customFormat="false" ht="27.75" hidden="false" customHeight="true" outlineLevel="0" collapsed="false">
      <c r="A48" s="32" t="s">
        <v>1779</v>
      </c>
      <c r="B48" s="14" t="s">
        <v>1896</v>
      </c>
      <c r="C48" s="14" t="s">
        <v>1897</v>
      </c>
      <c r="D48" s="14" t="s">
        <v>1856</v>
      </c>
      <c r="E48" s="14" t="s">
        <v>1857</v>
      </c>
      <c r="F48" s="14"/>
      <c r="G48" s="14"/>
      <c r="H48" s="15" t="s">
        <v>1894</v>
      </c>
      <c r="I48" s="15"/>
    </row>
    <row r="49" customFormat="false" ht="27.75" hidden="false" customHeight="true" outlineLevel="0" collapsed="false">
      <c r="A49" s="32" t="s">
        <v>1779</v>
      </c>
      <c r="B49" s="14" t="s">
        <v>1898</v>
      </c>
      <c r="C49" s="14" t="s">
        <v>1897</v>
      </c>
      <c r="D49" s="14" t="s">
        <v>1885</v>
      </c>
      <c r="E49" s="14" t="s">
        <v>1857</v>
      </c>
      <c r="F49" s="14"/>
      <c r="G49" s="14"/>
      <c r="H49" s="15" t="s">
        <v>1894</v>
      </c>
      <c r="I49" s="15" t="s">
        <v>1899</v>
      </c>
    </row>
    <row r="50" customFormat="false" ht="27.75" hidden="false" customHeight="true" outlineLevel="0" collapsed="false">
      <c r="A50" s="32" t="s">
        <v>1779</v>
      </c>
      <c r="B50" s="14" t="s">
        <v>1900</v>
      </c>
      <c r="C50" s="14" t="s">
        <v>1855</v>
      </c>
      <c r="D50" s="14" t="s">
        <v>1856</v>
      </c>
      <c r="E50" s="14" t="s">
        <v>1857</v>
      </c>
      <c r="F50" s="14"/>
      <c r="G50" s="14"/>
      <c r="H50" s="15" t="s">
        <v>1894</v>
      </c>
      <c r="I50" s="15"/>
    </row>
    <row r="51" customFormat="false" ht="27.75" hidden="false" customHeight="true" outlineLevel="0" collapsed="false">
      <c r="A51" s="32" t="s">
        <v>1779</v>
      </c>
      <c r="B51" s="14" t="s">
        <v>1901</v>
      </c>
      <c r="C51" s="14" t="s">
        <v>1902</v>
      </c>
      <c r="D51" s="14" t="s">
        <v>1766</v>
      </c>
      <c r="E51" s="14" t="s">
        <v>1857</v>
      </c>
      <c r="F51" s="14"/>
      <c r="G51" s="14"/>
      <c r="H51" s="15" t="s">
        <v>1903</v>
      </c>
      <c r="I51" s="15" t="s">
        <v>1904</v>
      </c>
    </row>
    <row r="52" customFormat="false" ht="27.75" hidden="false" customHeight="true" outlineLevel="0" collapsed="false">
      <c r="A52" s="33" t="s">
        <v>1789</v>
      </c>
      <c r="B52" s="14" t="s">
        <v>1892</v>
      </c>
      <c r="C52" s="14" t="s">
        <v>1893</v>
      </c>
      <c r="D52" s="14" t="s">
        <v>1885</v>
      </c>
      <c r="E52" s="14" t="s">
        <v>1857</v>
      </c>
      <c r="F52" s="14"/>
      <c r="G52" s="14"/>
      <c r="H52" s="15" t="s">
        <v>1905</v>
      </c>
      <c r="I52" s="15" t="s">
        <v>1906</v>
      </c>
    </row>
    <row r="53" customFormat="false" ht="27.75" hidden="false" customHeight="true" outlineLevel="0" collapsed="false">
      <c r="A53" s="33" t="s">
        <v>1789</v>
      </c>
      <c r="B53" s="14" t="s">
        <v>1907</v>
      </c>
      <c r="C53" s="14" t="s">
        <v>1908</v>
      </c>
      <c r="D53" s="14" t="s">
        <v>1909</v>
      </c>
      <c r="E53" s="14" t="s">
        <v>1857</v>
      </c>
      <c r="F53" s="14"/>
      <c r="G53" s="14"/>
      <c r="H53" s="15" t="s">
        <v>1905</v>
      </c>
      <c r="I53" s="15"/>
    </row>
  </sheetData>
  <autoFilter ref="A4:I5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7474F"/>
    <pageSetUpPr fitToPage="false"/>
  </sheetPr>
  <dimension ref="A1:F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17"/>
    <col collapsed="false" customWidth="true" hidden="false" outlineLevel="0" max="3" min="3" style="0" width="15"/>
    <col collapsed="false" customWidth="true" hidden="false" outlineLevel="0" max="4" min="4" style="0" width="9"/>
    <col collapsed="false" customWidth="true" hidden="false" outlineLevel="0" max="5" min="5" style="0" width="22"/>
    <col collapsed="false" customWidth="true" hidden="false" outlineLevel="0" max="6" min="6" style="0" width="72"/>
  </cols>
  <sheetData>
    <row r="1" customFormat="false" ht="17.35" hidden="false" customHeight="false" outlineLevel="0" collapsed="false">
      <c r="A1" s="27" t="s">
        <v>1910</v>
      </c>
    </row>
    <row r="2" customFormat="false" ht="15" hidden="false" customHeight="false" outlineLevel="0" collapsed="false">
      <c r="A2" s="2" t="s">
        <v>1911</v>
      </c>
    </row>
    <row r="4" customFormat="false" ht="15" hidden="false" customHeight="false" outlineLevel="0" collapsed="false">
      <c r="A4" s="28" t="s">
        <v>42</v>
      </c>
      <c r="B4" s="28" t="s">
        <v>1912</v>
      </c>
      <c r="C4" s="28" t="s">
        <v>1913</v>
      </c>
      <c r="D4" s="28" t="s">
        <v>1914</v>
      </c>
      <c r="E4" s="28" t="s">
        <v>1915</v>
      </c>
      <c r="F4" s="28" t="s">
        <v>1916</v>
      </c>
    </row>
    <row r="5" customFormat="false" ht="25.5" hidden="false" customHeight="true" outlineLevel="0" collapsed="false">
      <c r="A5" s="14" t="s">
        <v>1917</v>
      </c>
      <c r="B5" s="14" t="s">
        <v>1918</v>
      </c>
      <c r="C5" s="14" t="s">
        <v>1919</v>
      </c>
      <c r="D5" s="14" t="s">
        <v>1920</v>
      </c>
      <c r="E5" s="29" t="s">
        <v>1921</v>
      </c>
      <c r="F5" s="15" t="s">
        <v>1922</v>
      </c>
    </row>
    <row r="6" customFormat="false" ht="25.5" hidden="false" customHeight="true" outlineLevel="0" collapsed="false">
      <c r="A6" s="14" t="s">
        <v>1923</v>
      </c>
      <c r="B6" s="14" t="s">
        <v>1924</v>
      </c>
      <c r="C6" s="14" t="s">
        <v>1925</v>
      </c>
      <c r="D6" s="14" t="s">
        <v>1926</v>
      </c>
      <c r="E6" s="29" t="s">
        <v>1921</v>
      </c>
      <c r="F6" s="15" t="s">
        <v>1927</v>
      </c>
    </row>
    <row r="7" customFormat="false" ht="25.5" hidden="false" customHeight="true" outlineLevel="0" collapsed="false">
      <c r="A7" s="14" t="s">
        <v>1928</v>
      </c>
      <c r="B7" s="14" t="s">
        <v>1929</v>
      </c>
      <c r="C7" s="14" t="s">
        <v>1930</v>
      </c>
      <c r="D7" s="14" t="s">
        <v>1931</v>
      </c>
      <c r="E7" s="29" t="s">
        <v>1921</v>
      </c>
      <c r="F7" s="15" t="s">
        <v>1932</v>
      </c>
    </row>
    <row r="8" customFormat="false" ht="25.5" hidden="false" customHeight="true" outlineLevel="0" collapsed="false">
      <c r="A8" s="14" t="s">
        <v>1933</v>
      </c>
      <c r="B8" s="14" t="s">
        <v>1934</v>
      </c>
      <c r="C8" s="14" t="s">
        <v>1935</v>
      </c>
      <c r="D8" s="14" t="s">
        <v>1936</v>
      </c>
      <c r="E8" s="29" t="s">
        <v>1921</v>
      </c>
      <c r="F8" s="15" t="s">
        <v>1937</v>
      </c>
    </row>
    <row r="9" customFormat="false" ht="25.5" hidden="false" customHeight="true" outlineLevel="0" collapsed="false">
      <c r="A9" s="14" t="s">
        <v>136</v>
      </c>
      <c r="B9" s="14" t="s">
        <v>1938</v>
      </c>
      <c r="C9" s="14" t="s">
        <v>1939</v>
      </c>
      <c r="D9" s="14" t="s">
        <v>1940</v>
      </c>
      <c r="E9" s="29" t="s">
        <v>1921</v>
      </c>
      <c r="F9" s="15" t="s">
        <v>1941</v>
      </c>
    </row>
    <row r="10" customFormat="false" ht="25.5" hidden="false" customHeight="true" outlineLevel="0" collapsed="false">
      <c r="A10" s="14" t="s">
        <v>1942</v>
      </c>
      <c r="B10" s="14" t="s">
        <v>1943</v>
      </c>
      <c r="C10" s="14" t="s">
        <v>1930</v>
      </c>
      <c r="D10" s="14" t="s">
        <v>1944</v>
      </c>
      <c r="E10" s="32" t="s">
        <v>1945</v>
      </c>
      <c r="F10" s="15" t="s">
        <v>1946</v>
      </c>
    </row>
    <row r="11" customFormat="false" ht="25.5" hidden="false" customHeight="true" outlineLevel="0" collapsed="false">
      <c r="A11" s="14" t="s">
        <v>1947</v>
      </c>
      <c r="B11" s="14" t="s">
        <v>1948</v>
      </c>
      <c r="C11" s="14" t="s">
        <v>1949</v>
      </c>
      <c r="D11" s="14" t="s">
        <v>1944</v>
      </c>
      <c r="E11" s="32" t="s">
        <v>1945</v>
      </c>
      <c r="F11" s="15" t="s">
        <v>1950</v>
      </c>
    </row>
    <row r="12" customFormat="false" ht="25.5" hidden="false" customHeight="true" outlineLevel="0" collapsed="false">
      <c r="A12" s="14" t="s">
        <v>1951</v>
      </c>
      <c r="B12" s="14" t="s">
        <v>1952</v>
      </c>
      <c r="C12" s="14" t="s">
        <v>1953</v>
      </c>
      <c r="D12" s="14" t="s">
        <v>1931</v>
      </c>
      <c r="E12" s="32" t="s">
        <v>1945</v>
      </c>
      <c r="F12" s="15" t="s">
        <v>1954</v>
      </c>
    </row>
    <row r="13" customFormat="false" ht="25.5" hidden="false" customHeight="true" outlineLevel="0" collapsed="false">
      <c r="A13" s="14" t="s">
        <v>1955</v>
      </c>
      <c r="B13" s="14" t="s">
        <v>1956</v>
      </c>
      <c r="C13" s="14" t="s">
        <v>1957</v>
      </c>
      <c r="D13" s="14" t="s">
        <v>1944</v>
      </c>
      <c r="E13" s="32" t="s">
        <v>1945</v>
      </c>
      <c r="F13" s="15" t="s">
        <v>1958</v>
      </c>
    </row>
    <row r="14" customFormat="false" ht="25.5" hidden="false" customHeight="true" outlineLevel="0" collapsed="false">
      <c r="A14" s="14" t="s">
        <v>1959</v>
      </c>
      <c r="B14" s="14" t="s">
        <v>1960</v>
      </c>
      <c r="C14" s="14" t="s">
        <v>1961</v>
      </c>
      <c r="D14" s="14" t="s">
        <v>1944</v>
      </c>
      <c r="E14" s="32" t="s">
        <v>1945</v>
      </c>
      <c r="F14" s="15" t="s">
        <v>1962</v>
      </c>
    </row>
    <row r="15" customFormat="false" ht="25.5" hidden="false" customHeight="true" outlineLevel="0" collapsed="false">
      <c r="A15" s="14" t="s">
        <v>1963</v>
      </c>
      <c r="B15" s="14" t="s">
        <v>1948</v>
      </c>
      <c r="C15" s="14" t="s">
        <v>1964</v>
      </c>
      <c r="D15" s="14" t="s">
        <v>1965</v>
      </c>
      <c r="E15" s="14" t="s">
        <v>1966</v>
      </c>
      <c r="F15" s="15" t="s">
        <v>1967</v>
      </c>
    </row>
    <row r="16" customFormat="false" ht="25.5" hidden="false" customHeight="true" outlineLevel="0" collapsed="false">
      <c r="A16" s="14" t="s">
        <v>1968</v>
      </c>
      <c r="B16" s="14" t="s">
        <v>1969</v>
      </c>
      <c r="C16" s="14" t="s">
        <v>1953</v>
      </c>
      <c r="D16" s="14" t="s">
        <v>1944</v>
      </c>
      <c r="E16" s="14" t="s">
        <v>1966</v>
      </c>
      <c r="F16" s="15" t="s">
        <v>1970</v>
      </c>
    </row>
    <row r="17" customFormat="false" ht="25.5" hidden="false" customHeight="true" outlineLevel="0" collapsed="false">
      <c r="A17" s="14" t="s">
        <v>1971</v>
      </c>
      <c r="B17" s="14" t="s">
        <v>1948</v>
      </c>
      <c r="C17" s="14" t="s">
        <v>1972</v>
      </c>
      <c r="D17" s="14" t="s">
        <v>1973</v>
      </c>
      <c r="E17" s="14" t="s">
        <v>1966</v>
      </c>
      <c r="F17" s="15" t="s">
        <v>1967</v>
      </c>
    </row>
    <row r="18" customFormat="false" ht="25.5" hidden="false" customHeight="true" outlineLevel="0" collapsed="false">
      <c r="A18" s="14" t="s">
        <v>1974</v>
      </c>
      <c r="B18" s="14" t="s">
        <v>1948</v>
      </c>
      <c r="C18" s="14" t="s">
        <v>1975</v>
      </c>
      <c r="D18" s="14" t="s">
        <v>1920</v>
      </c>
      <c r="E18" s="14" t="s">
        <v>1966</v>
      </c>
      <c r="F18" s="15" t="s">
        <v>1967</v>
      </c>
    </row>
    <row r="19" customFormat="false" ht="25.5" hidden="false" customHeight="true" outlineLevel="0" collapsed="false">
      <c r="A19" s="14" t="s">
        <v>1976</v>
      </c>
      <c r="B19" s="14" t="s">
        <v>1948</v>
      </c>
      <c r="C19" s="14" t="s">
        <v>1925</v>
      </c>
      <c r="D19" s="14" t="s">
        <v>1920</v>
      </c>
      <c r="E19" s="14" t="s">
        <v>1966</v>
      </c>
      <c r="F19" s="15" t="s">
        <v>1967</v>
      </c>
    </row>
    <row r="20" customFormat="false" ht="25.5" hidden="false" customHeight="true" outlineLevel="0" collapsed="false">
      <c r="A20" s="14" t="s">
        <v>1977</v>
      </c>
      <c r="B20" s="14" t="s">
        <v>1948</v>
      </c>
      <c r="C20" s="14" t="s">
        <v>1925</v>
      </c>
      <c r="D20" s="14" t="s">
        <v>1965</v>
      </c>
      <c r="E20" s="14" t="s">
        <v>1966</v>
      </c>
      <c r="F20" s="15" t="s">
        <v>1967</v>
      </c>
    </row>
    <row r="21" customFormat="false" ht="25.5" hidden="false" customHeight="true" outlineLevel="0" collapsed="false">
      <c r="A21" s="14" t="s">
        <v>1978</v>
      </c>
      <c r="B21" s="14" t="s">
        <v>1979</v>
      </c>
      <c r="C21" s="14" t="s">
        <v>1925</v>
      </c>
      <c r="D21" s="14" t="s">
        <v>1980</v>
      </c>
      <c r="E21" s="14" t="s">
        <v>1966</v>
      </c>
      <c r="F21" s="15" t="s">
        <v>1981</v>
      </c>
    </row>
    <row r="22" customFormat="false" ht="25.5" hidden="false" customHeight="true" outlineLevel="0" collapsed="false">
      <c r="A22" s="14" t="s">
        <v>1982</v>
      </c>
      <c r="B22" s="14" t="s">
        <v>1983</v>
      </c>
      <c r="C22" s="14" t="s">
        <v>1925</v>
      </c>
      <c r="D22" s="14" t="s">
        <v>1920</v>
      </c>
      <c r="E22" s="14" t="s">
        <v>1966</v>
      </c>
      <c r="F22" s="15" t="s">
        <v>1967</v>
      </c>
    </row>
    <row r="23" customFormat="false" ht="25.5" hidden="false" customHeight="true" outlineLevel="0" collapsed="false">
      <c r="A23" s="14" t="s">
        <v>1984</v>
      </c>
      <c r="B23" s="14" t="s">
        <v>1948</v>
      </c>
      <c r="C23" s="14" t="s">
        <v>1985</v>
      </c>
      <c r="D23" s="14" t="s">
        <v>1920</v>
      </c>
      <c r="E23" s="14" t="s">
        <v>1966</v>
      </c>
      <c r="F23" s="15" t="s">
        <v>1967</v>
      </c>
    </row>
    <row r="24" customFormat="false" ht="25.5" hidden="false" customHeight="true" outlineLevel="0" collapsed="false">
      <c r="A24" s="14" t="s">
        <v>1986</v>
      </c>
      <c r="B24" s="14" t="s">
        <v>1948</v>
      </c>
      <c r="C24" s="14" t="s">
        <v>1925</v>
      </c>
      <c r="D24" s="14" t="s">
        <v>1931</v>
      </c>
      <c r="E24" s="14" t="s">
        <v>1966</v>
      </c>
      <c r="F24" s="15" t="s">
        <v>1967</v>
      </c>
    </row>
    <row r="25" customFormat="false" ht="25.5" hidden="false" customHeight="true" outlineLevel="0" collapsed="false">
      <c r="A25" s="14" t="s">
        <v>1987</v>
      </c>
      <c r="B25" s="14" t="s">
        <v>1979</v>
      </c>
      <c r="C25" s="14" t="s">
        <v>1925</v>
      </c>
      <c r="D25" s="14" t="s">
        <v>1926</v>
      </c>
      <c r="E25" s="14" t="s">
        <v>1966</v>
      </c>
      <c r="F25" s="15" t="s">
        <v>1967</v>
      </c>
    </row>
    <row r="26" customFormat="false" ht="25.5" hidden="false" customHeight="true" outlineLevel="0" collapsed="false">
      <c r="A26" s="14" t="s">
        <v>1988</v>
      </c>
      <c r="B26" s="14" t="s">
        <v>1948</v>
      </c>
      <c r="C26" s="14" t="s">
        <v>1989</v>
      </c>
      <c r="D26" s="14" t="s">
        <v>1990</v>
      </c>
      <c r="E26" s="14" t="s">
        <v>1966</v>
      </c>
      <c r="F26" s="15" t="s">
        <v>1967</v>
      </c>
    </row>
    <row r="27" customFormat="false" ht="25.5" hidden="false" customHeight="true" outlineLevel="0" collapsed="false">
      <c r="A27" s="14" t="s">
        <v>1991</v>
      </c>
      <c r="B27" s="14" t="s">
        <v>1948</v>
      </c>
      <c r="C27" s="14" t="s">
        <v>1992</v>
      </c>
      <c r="D27" s="14" t="s">
        <v>1944</v>
      </c>
      <c r="E27" s="14" t="s">
        <v>1966</v>
      </c>
      <c r="F27" s="15" t="s">
        <v>1967</v>
      </c>
    </row>
    <row r="28" customFormat="false" ht="25.5" hidden="false" customHeight="true" outlineLevel="0" collapsed="false">
      <c r="A28" s="14" t="s">
        <v>1993</v>
      </c>
      <c r="B28" s="14" t="s">
        <v>1948</v>
      </c>
      <c r="C28" s="14" t="s">
        <v>1994</v>
      </c>
      <c r="D28" s="14" t="s">
        <v>1990</v>
      </c>
      <c r="E28" s="14" t="s">
        <v>1966</v>
      </c>
      <c r="F28" s="15" t="s">
        <v>1967</v>
      </c>
    </row>
    <row r="29" customFormat="false" ht="25.5" hidden="false" customHeight="true" outlineLevel="0" collapsed="false">
      <c r="A29" s="14" t="s">
        <v>1995</v>
      </c>
      <c r="B29" s="14" t="s">
        <v>1983</v>
      </c>
      <c r="C29" s="14" t="s">
        <v>1957</v>
      </c>
      <c r="D29" s="14" t="s">
        <v>1944</v>
      </c>
      <c r="E29" s="14" t="s">
        <v>1966</v>
      </c>
      <c r="F29" s="15" t="s">
        <v>1967</v>
      </c>
    </row>
    <row r="30" customFormat="false" ht="25.5" hidden="false" customHeight="true" outlineLevel="0" collapsed="false">
      <c r="A30" s="14" t="s">
        <v>1996</v>
      </c>
      <c r="B30" s="14" t="s">
        <v>1948</v>
      </c>
      <c r="C30" s="14" t="s">
        <v>1997</v>
      </c>
      <c r="D30" s="14" t="s">
        <v>1931</v>
      </c>
      <c r="E30" s="14" t="s">
        <v>1966</v>
      </c>
      <c r="F30" s="15" t="s">
        <v>1967</v>
      </c>
    </row>
    <row r="31" customFormat="false" ht="25.5" hidden="false" customHeight="true" outlineLevel="0" collapsed="false">
      <c r="A31" s="14" t="s">
        <v>1998</v>
      </c>
      <c r="B31" s="14" t="s">
        <v>1948</v>
      </c>
      <c r="C31" s="14" t="s">
        <v>1930</v>
      </c>
      <c r="D31" s="14" t="s">
        <v>1999</v>
      </c>
      <c r="E31" s="14" t="s">
        <v>1966</v>
      </c>
      <c r="F31" s="15" t="s">
        <v>1967</v>
      </c>
    </row>
    <row r="32" customFormat="false" ht="25.5" hidden="false" customHeight="true" outlineLevel="0" collapsed="false">
      <c r="A32" s="14" t="s">
        <v>2000</v>
      </c>
      <c r="B32" s="14" t="s">
        <v>2001</v>
      </c>
      <c r="C32" s="14" t="s">
        <v>2002</v>
      </c>
      <c r="D32" s="14" t="s">
        <v>2003</v>
      </c>
      <c r="E32" s="14" t="s">
        <v>1966</v>
      </c>
      <c r="F32" s="15" t="s">
        <v>1967</v>
      </c>
    </row>
    <row r="33" customFormat="false" ht="25.5" hidden="false" customHeight="true" outlineLevel="0" collapsed="false">
      <c r="A33" s="14" t="s">
        <v>2004</v>
      </c>
      <c r="B33" s="14" t="s">
        <v>2001</v>
      </c>
      <c r="C33" s="14" t="s">
        <v>1935</v>
      </c>
      <c r="D33" s="14" t="s">
        <v>1999</v>
      </c>
      <c r="E33" s="14" t="s">
        <v>1966</v>
      </c>
      <c r="F33" s="15" t="s">
        <v>1967</v>
      </c>
    </row>
    <row r="34" customFormat="false" ht="25.5" hidden="false" customHeight="true" outlineLevel="0" collapsed="false">
      <c r="A34" s="14" t="s">
        <v>2005</v>
      </c>
      <c r="B34" s="14" t="s">
        <v>1948</v>
      </c>
      <c r="C34" s="14" t="s">
        <v>2006</v>
      </c>
      <c r="D34" s="14" t="s">
        <v>1936</v>
      </c>
      <c r="E34" s="14" t="s">
        <v>1966</v>
      </c>
      <c r="F34" s="15" t="s">
        <v>1967</v>
      </c>
    </row>
    <row r="35" customFormat="false" ht="25.5" hidden="false" customHeight="true" outlineLevel="0" collapsed="false">
      <c r="A35" s="14" t="s">
        <v>2007</v>
      </c>
      <c r="B35" s="14" t="s">
        <v>1948</v>
      </c>
      <c r="C35" s="14" t="s">
        <v>2008</v>
      </c>
      <c r="D35" s="14" t="s">
        <v>2009</v>
      </c>
      <c r="E35" s="14" t="s">
        <v>1966</v>
      </c>
      <c r="F35" s="15" t="s">
        <v>1967</v>
      </c>
    </row>
    <row r="36" customFormat="false" ht="25.5" hidden="false" customHeight="true" outlineLevel="0" collapsed="false">
      <c r="A36" s="14" t="s">
        <v>2010</v>
      </c>
      <c r="B36" s="14" t="s">
        <v>1948</v>
      </c>
      <c r="C36" s="14" t="s">
        <v>2011</v>
      </c>
      <c r="D36" s="14" t="s">
        <v>1973</v>
      </c>
      <c r="E36" s="14" t="s">
        <v>1966</v>
      </c>
      <c r="F36" s="15" t="s">
        <v>1967</v>
      </c>
    </row>
    <row r="37" customFormat="false" ht="25.5" hidden="false" customHeight="true" outlineLevel="0" collapsed="false">
      <c r="A37" s="14" t="s">
        <v>2012</v>
      </c>
      <c r="B37" s="14" t="s">
        <v>1979</v>
      </c>
      <c r="C37" s="14" t="s">
        <v>2013</v>
      </c>
      <c r="D37" s="14" t="s">
        <v>2014</v>
      </c>
      <c r="E37" s="14" t="s">
        <v>1966</v>
      </c>
      <c r="F37" s="15" t="s">
        <v>1967</v>
      </c>
    </row>
    <row r="38" customFormat="false" ht="25.5" hidden="false" customHeight="true" outlineLevel="0" collapsed="false">
      <c r="A38" s="14" t="s">
        <v>2015</v>
      </c>
      <c r="B38" s="14" t="s">
        <v>1948</v>
      </c>
      <c r="C38" s="14" t="s">
        <v>2016</v>
      </c>
      <c r="D38" s="14" t="s">
        <v>1931</v>
      </c>
      <c r="E38" s="14" t="s">
        <v>1966</v>
      </c>
      <c r="F38" s="15" t="s">
        <v>1967</v>
      </c>
    </row>
    <row r="39" customFormat="false" ht="25.5" hidden="false" customHeight="true" outlineLevel="0" collapsed="false">
      <c r="A39" s="14" t="s">
        <v>2017</v>
      </c>
      <c r="B39" s="14" t="s">
        <v>1979</v>
      </c>
      <c r="C39" s="14" t="s">
        <v>2018</v>
      </c>
      <c r="D39" s="14" t="s">
        <v>1944</v>
      </c>
      <c r="E39" s="14" t="s">
        <v>1966</v>
      </c>
      <c r="F39" s="15" t="s">
        <v>1967</v>
      </c>
    </row>
    <row r="40" customFormat="false" ht="25.5" hidden="false" customHeight="true" outlineLevel="0" collapsed="false">
      <c r="A40" s="14" t="s">
        <v>2019</v>
      </c>
      <c r="B40" s="14" t="s">
        <v>1948</v>
      </c>
      <c r="C40" s="14" t="s">
        <v>2020</v>
      </c>
      <c r="D40" s="14" t="s">
        <v>1965</v>
      </c>
      <c r="E40" s="14" t="s">
        <v>1966</v>
      </c>
      <c r="F40" s="15" t="s">
        <v>1967</v>
      </c>
    </row>
    <row r="41" customFormat="false" ht="25.5" hidden="false" customHeight="true" outlineLevel="0" collapsed="false">
      <c r="A41" s="14" t="s">
        <v>2021</v>
      </c>
      <c r="B41" s="14" t="s">
        <v>1969</v>
      </c>
      <c r="C41" s="14" t="s">
        <v>1925</v>
      </c>
      <c r="D41" s="14" t="s">
        <v>2022</v>
      </c>
      <c r="E41" s="14" t="s">
        <v>1966</v>
      </c>
      <c r="F41" s="15" t="s">
        <v>1967</v>
      </c>
    </row>
    <row r="42" customFormat="false" ht="25.5" hidden="false" customHeight="true" outlineLevel="0" collapsed="false">
      <c r="A42" s="14" t="s">
        <v>2023</v>
      </c>
      <c r="B42" s="14" t="s">
        <v>2024</v>
      </c>
      <c r="C42" s="14" t="s">
        <v>1925</v>
      </c>
      <c r="D42" s="14" t="s">
        <v>2025</v>
      </c>
      <c r="E42" s="14" t="s">
        <v>1966</v>
      </c>
      <c r="F42" s="15" t="s">
        <v>1967</v>
      </c>
    </row>
    <row r="43" customFormat="false" ht="25.5" hidden="false" customHeight="true" outlineLevel="0" collapsed="false">
      <c r="A43" s="14" t="s">
        <v>2026</v>
      </c>
      <c r="B43" s="14" t="s">
        <v>2027</v>
      </c>
      <c r="C43" s="14" t="s">
        <v>1925</v>
      </c>
      <c r="D43" s="14" t="s">
        <v>1944</v>
      </c>
      <c r="E43" s="14" t="s">
        <v>1966</v>
      </c>
      <c r="F43" s="15" t="s">
        <v>1967</v>
      </c>
    </row>
    <row r="44" customFormat="false" ht="25.5" hidden="false" customHeight="true" outlineLevel="0" collapsed="false">
      <c r="A44" s="14" t="s">
        <v>2028</v>
      </c>
      <c r="B44" s="14" t="s">
        <v>1948</v>
      </c>
      <c r="C44" s="14" t="s">
        <v>2029</v>
      </c>
      <c r="D44" s="14" t="s">
        <v>1944</v>
      </c>
      <c r="E44" s="14" t="s">
        <v>1966</v>
      </c>
      <c r="F44" s="15" t="s">
        <v>1967</v>
      </c>
    </row>
    <row r="45" customFormat="false" ht="25.5" hidden="false" customHeight="true" outlineLevel="0" collapsed="false">
      <c r="A45" s="14" t="s">
        <v>2030</v>
      </c>
      <c r="B45" s="14" t="s">
        <v>1948</v>
      </c>
      <c r="C45" s="14" t="s">
        <v>2011</v>
      </c>
      <c r="D45" s="14" t="s">
        <v>1920</v>
      </c>
      <c r="E45" s="14" t="s">
        <v>1966</v>
      </c>
      <c r="F45" s="15" t="s">
        <v>1967</v>
      </c>
    </row>
    <row r="46" customFormat="false" ht="25.5" hidden="false" customHeight="true" outlineLevel="0" collapsed="false">
      <c r="A46" s="14" t="s">
        <v>2031</v>
      </c>
      <c r="B46" s="14" t="s">
        <v>1948</v>
      </c>
      <c r="C46" s="14" t="s">
        <v>1989</v>
      </c>
      <c r="D46" s="14" t="s">
        <v>1931</v>
      </c>
      <c r="E46" s="14" t="s">
        <v>1966</v>
      </c>
      <c r="F46" s="15" t="s">
        <v>1967</v>
      </c>
    </row>
    <row r="47" customFormat="false" ht="25.5" hidden="false" customHeight="true" outlineLevel="0" collapsed="false">
      <c r="A47" s="14" t="s">
        <v>2032</v>
      </c>
      <c r="B47" s="14" t="s">
        <v>1948</v>
      </c>
      <c r="C47" s="14" t="s">
        <v>2033</v>
      </c>
      <c r="D47" s="14" t="s">
        <v>1965</v>
      </c>
      <c r="E47" s="14" t="s">
        <v>1966</v>
      </c>
      <c r="F47" s="15" t="s">
        <v>1967</v>
      </c>
    </row>
    <row r="48" customFormat="false" ht="25.5" hidden="false" customHeight="true" outlineLevel="0" collapsed="false">
      <c r="A48" s="14" t="s">
        <v>2034</v>
      </c>
      <c r="B48" s="14" t="s">
        <v>2035</v>
      </c>
      <c r="C48" s="14" t="s">
        <v>1953</v>
      </c>
      <c r="D48" s="14" t="s">
        <v>2036</v>
      </c>
      <c r="E48" s="14" t="s">
        <v>1966</v>
      </c>
      <c r="F48" s="15" t="s">
        <v>1967</v>
      </c>
    </row>
    <row r="49" customFormat="false" ht="25.5" hidden="false" customHeight="true" outlineLevel="0" collapsed="false">
      <c r="A49" s="14" t="s">
        <v>2037</v>
      </c>
      <c r="B49" s="14" t="s">
        <v>2038</v>
      </c>
      <c r="C49" s="14" t="s">
        <v>1935</v>
      </c>
      <c r="D49" s="14" t="s">
        <v>1944</v>
      </c>
      <c r="E49" s="14" t="s">
        <v>1966</v>
      </c>
      <c r="F49" s="15" t="s">
        <v>1967</v>
      </c>
    </row>
    <row r="50" customFormat="false" ht="25.5" hidden="false" customHeight="true" outlineLevel="0" collapsed="false">
      <c r="A50" s="14" t="s">
        <v>2039</v>
      </c>
      <c r="B50" s="14" t="s">
        <v>1948</v>
      </c>
      <c r="C50" s="14" t="s">
        <v>2006</v>
      </c>
      <c r="D50" s="14" t="s">
        <v>2040</v>
      </c>
      <c r="E50" s="14" t="s">
        <v>1966</v>
      </c>
      <c r="F50" s="15" t="s">
        <v>1967</v>
      </c>
    </row>
    <row r="51" customFormat="false" ht="25.5" hidden="false" customHeight="true" outlineLevel="0" collapsed="false">
      <c r="A51" s="14" t="s">
        <v>2041</v>
      </c>
      <c r="B51" s="14" t="s">
        <v>1948</v>
      </c>
      <c r="C51" s="14" t="s">
        <v>1992</v>
      </c>
      <c r="D51" s="14" t="s">
        <v>1973</v>
      </c>
      <c r="E51" s="14" t="s">
        <v>1966</v>
      </c>
      <c r="F51" s="15" t="s">
        <v>1967</v>
      </c>
    </row>
    <row r="52" customFormat="false" ht="25.5" hidden="false" customHeight="true" outlineLevel="0" collapsed="false">
      <c r="A52" s="14" t="s">
        <v>2042</v>
      </c>
      <c r="B52" s="14" t="s">
        <v>1948</v>
      </c>
      <c r="C52" s="14" t="s">
        <v>1992</v>
      </c>
      <c r="D52" s="14" t="s">
        <v>2025</v>
      </c>
      <c r="E52" s="14" t="s">
        <v>1966</v>
      </c>
      <c r="F52" s="15" t="s">
        <v>1967</v>
      </c>
    </row>
    <row r="53" customFormat="false" ht="25.5" hidden="false" customHeight="true" outlineLevel="0" collapsed="false">
      <c r="A53" s="14" t="s">
        <v>2043</v>
      </c>
      <c r="B53" s="14" t="s">
        <v>1948</v>
      </c>
      <c r="C53" s="14" t="s">
        <v>1953</v>
      </c>
      <c r="D53" s="14" t="s">
        <v>1965</v>
      </c>
      <c r="E53" s="14" t="s">
        <v>1966</v>
      </c>
      <c r="F53" s="15" t="s">
        <v>1967</v>
      </c>
    </row>
    <row r="54" customFormat="false" ht="25.5" hidden="false" customHeight="true" outlineLevel="0" collapsed="false">
      <c r="A54" s="14" t="s">
        <v>2044</v>
      </c>
      <c r="B54" s="14" t="s">
        <v>1979</v>
      </c>
      <c r="C54" s="14" t="s">
        <v>1925</v>
      </c>
      <c r="D54" s="14" t="s">
        <v>1944</v>
      </c>
      <c r="E54" s="14" t="s">
        <v>1966</v>
      </c>
      <c r="F54" s="15" t="s">
        <v>2045</v>
      </c>
    </row>
    <row r="55" customFormat="false" ht="25.5" hidden="false" customHeight="true" outlineLevel="0" collapsed="false">
      <c r="A55" s="14" t="s">
        <v>2046</v>
      </c>
      <c r="B55" s="14" t="s">
        <v>2038</v>
      </c>
      <c r="C55" s="14" t="s">
        <v>1925</v>
      </c>
      <c r="D55" s="14" t="s">
        <v>1920</v>
      </c>
      <c r="E55" s="14" t="s">
        <v>1966</v>
      </c>
      <c r="F55" s="15" t="s">
        <v>1967</v>
      </c>
    </row>
    <row r="56" customFormat="false" ht="25.5" hidden="false" customHeight="true" outlineLevel="0" collapsed="false">
      <c r="A56" s="14" t="s">
        <v>1830</v>
      </c>
      <c r="B56" s="14" t="s">
        <v>2047</v>
      </c>
      <c r="C56" s="14" t="s">
        <v>1925</v>
      </c>
      <c r="D56" s="14" t="s">
        <v>2036</v>
      </c>
      <c r="E56" s="14" t="s">
        <v>1966</v>
      </c>
      <c r="F56" s="15" t="s">
        <v>2048</v>
      </c>
    </row>
    <row r="57" customFormat="false" ht="25.5" hidden="false" customHeight="true" outlineLevel="0" collapsed="false">
      <c r="A57" s="14" t="s">
        <v>2049</v>
      </c>
      <c r="B57" s="14" t="s">
        <v>1948</v>
      </c>
      <c r="C57" s="14" t="s">
        <v>2050</v>
      </c>
      <c r="D57" s="14" t="s">
        <v>1990</v>
      </c>
      <c r="E57" s="14" t="s">
        <v>1966</v>
      </c>
      <c r="F57" s="15" t="s">
        <v>1967</v>
      </c>
    </row>
    <row r="58" customFormat="false" ht="25.5" hidden="false" customHeight="true" outlineLevel="0" collapsed="false">
      <c r="A58" s="14" t="s">
        <v>2051</v>
      </c>
      <c r="B58" s="14" t="s">
        <v>1948</v>
      </c>
      <c r="C58" s="14" t="s">
        <v>1925</v>
      </c>
      <c r="D58" s="14" t="s">
        <v>1973</v>
      </c>
      <c r="E58" s="14" t="s">
        <v>1966</v>
      </c>
      <c r="F58" s="15" t="s">
        <v>1967</v>
      </c>
    </row>
    <row r="59" customFormat="false" ht="25.5" hidden="false" customHeight="true" outlineLevel="0" collapsed="false">
      <c r="A59" s="14" t="s">
        <v>2052</v>
      </c>
      <c r="B59" s="14" t="s">
        <v>2001</v>
      </c>
      <c r="C59" s="14" t="s">
        <v>1953</v>
      </c>
      <c r="D59" s="14" t="s">
        <v>1920</v>
      </c>
      <c r="E59" s="14" t="s">
        <v>1966</v>
      </c>
      <c r="F59" s="15" t="s">
        <v>1967</v>
      </c>
    </row>
    <row r="60" customFormat="false" ht="25.5" hidden="false" customHeight="true" outlineLevel="0" collapsed="false">
      <c r="A60" s="14" t="s">
        <v>2053</v>
      </c>
      <c r="B60" s="14" t="s">
        <v>1979</v>
      </c>
      <c r="C60" s="14" t="s">
        <v>1925</v>
      </c>
      <c r="D60" s="14" t="s">
        <v>2054</v>
      </c>
      <c r="E60" s="14" t="s">
        <v>1966</v>
      </c>
      <c r="F60" s="15" t="s">
        <v>1967</v>
      </c>
    </row>
    <row r="61" customFormat="false" ht="25.5" hidden="false" customHeight="true" outlineLevel="0" collapsed="false">
      <c r="A61" s="14" t="s">
        <v>2055</v>
      </c>
      <c r="B61" s="14" t="s">
        <v>1948</v>
      </c>
      <c r="C61" s="14" t="s">
        <v>1925</v>
      </c>
      <c r="D61" s="14" t="s">
        <v>1973</v>
      </c>
      <c r="E61" s="14" t="s">
        <v>1966</v>
      </c>
      <c r="F61" s="15" t="s">
        <v>1967</v>
      </c>
    </row>
    <row r="62" customFormat="false" ht="25.5" hidden="false" customHeight="true" outlineLevel="0" collapsed="false">
      <c r="A62" s="14" t="s">
        <v>2056</v>
      </c>
      <c r="B62" s="14" t="s">
        <v>1948</v>
      </c>
      <c r="C62" s="14" t="s">
        <v>1925</v>
      </c>
      <c r="D62" s="14" t="s">
        <v>1990</v>
      </c>
      <c r="E62" s="14" t="s">
        <v>1966</v>
      </c>
      <c r="F62" s="15" t="s">
        <v>1967</v>
      </c>
    </row>
    <row r="63" customFormat="false" ht="25.5" hidden="false" customHeight="true" outlineLevel="0" collapsed="false">
      <c r="A63" s="14" t="s">
        <v>2057</v>
      </c>
      <c r="B63" s="14" t="s">
        <v>2058</v>
      </c>
      <c r="C63" s="14" t="s">
        <v>1953</v>
      </c>
      <c r="D63" s="14" t="s">
        <v>1920</v>
      </c>
      <c r="E63" s="14" t="s">
        <v>1966</v>
      </c>
      <c r="F63" s="15" t="s">
        <v>1967</v>
      </c>
    </row>
    <row r="64" customFormat="false" ht="25.5" hidden="false" customHeight="true" outlineLevel="0" collapsed="false">
      <c r="A64" s="14" t="s">
        <v>2059</v>
      </c>
      <c r="B64" s="14" t="s">
        <v>1948</v>
      </c>
      <c r="C64" s="14" t="s">
        <v>2060</v>
      </c>
      <c r="D64" s="14" t="s">
        <v>1990</v>
      </c>
      <c r="E64" s="14" t="s">
        <v>1966</v>
      </c>
      <c r="F64" s="15" t="s">
        <v>1967</v>
      </c>
    </row>
    <row r="65" customFormat="false" ht="25.5" hidden="false" customHeight="true" outlineLevel="0" collapsed="false">
      <c r="A65" s="14" t="s">
        <v>2061</v>
      </c>
      <c r="B65" s="14" t="s">
        <v>1948</v>
      </c>
      <c r="C65" s="14" t="s">
        <v>1985</v>
      </c>
      <c r="D65" s="14" t="s">
        <v>1926</v>
      </c>
      <c r="E65" s="14" t="s">
        <v>1966</v>
      </c>
      <c r="F65" s="15" t="s">
        <v>1967</v>
      </c>
    </row>
    <row r="66" customFormat="false" ht="25.5" hidden="false" customHeight="true" outlineLevel="0" collapsed="false">
      <c r="A66" s="14" t="s">
        <v>2062</v>
      </c>
      <c r="B66" s="14" t="s">
        <v>1979</v>
      </c>
      <c r="C66" s="14" t="s">
        <v>1925</v>
      </c>
      <c r="D66" s="14" t="s">
        <v>1990</v>
      </c>
      <c r="E66" s="14" t="s">
        <v>1966</v>
      </c>
      <c r="F66" s="15" t="s">
        <v>1967</v>
      </c>
    </row>
    <row r="67" customFormat="false" ht="25.5" hidden="false" customHeight="true" outlineLevel="0" collapsed="false">
      <c r="A67" s="14" t="s">
        <v>2063</v>
      </c>
      <c r="B67" s="14" t="s">
        <v>1948</v>
      </c>
      <c r="C67" s="14" t="s">
        <v>2064</v>
      </c>
      <c r="D67" s="14" t="s">
        <v>2025</v>
      </c>
      <c r="E67" s="14" t="s">
        <v>1966</v>
      </c>
      <c r="F67" s="15" t="s">
        <v>1967</v>
      </c>
    </row>
    <row r="68" customFormat="false" ht="25.5" hidden="false" customHeight="true" outlineLevel="0" collapsed="false">
      <c r="A68" s="14" t="s">
        <v>2065</v>
      </c>
      <c r="B68" s="14" t="s">
        <v>1979</v>
      </c>
      <c r="C68" s="14" t="s">
        <v>2066</v>
      </c>
      <c r="D68" s="14" t="s">
        <v>1973</v>
      </c>
      <c r="E68" s="14" t="s">
        <v>1966</v>
      </c>
      <c r="F68" s="15" t="s">
        <v>1967</v>
      </c>
    </row>
    <row r="69" customFormat="false" ht="25.5" hidden="false" customHeight="true" outlineLevel="0" collapsed="false">
      <c r="A69" s="14" t="s">
        <v>2067</v>
      </c>
      <c r="B69" s="14" t="s">
        <v>1948</v>
      </c>
      <c r="C69" s="14" t="s">
        <v>1985</v>
      </c>
      <c r="D69" s="14" t="s">
        <v>1990</v>
      </c>
      <c r="E69" s="14" t="s">
        <v>1966</v>
      </c>
      <c r="F69" s="15" t="s">
        <v>1967</v>
      </c>
    </row>
    <row r="70" customFormat="false" ht="25.5" hidden="false" customHeight="true" outlineLevel="0" collapsed="false">
      <c r="A70" s="14" t="s">
        <v>2068</v>
      </c>
      <c r="B70" s="14" t="s">
        <v>2035</v>
      </c>
      <c r="C70" s="14" t="s">
        <v>1953</v>
      </c>
      <c r="D70" s="14" t="s">
        <v>1999</v>
      </c>
      <c r="E70" s="14" t="s">
        <v>1966</v>
      </c>
      <c r="F70" s="15" t="s">
        <v>1967</v>
      </c>
    </row>
    <row r="71" customFormat="false" ht="25.5" hidden="false" customHeight="true" outlineLevel="0" collapsed="false">
      <c r="A71" s="14" t="s">
        <v>2069</v>
      </c>
      <c r="B71" s="14" t="s">
        <v>2001</v>
      </c>
      <c r="C71" s="14" t="s">
        <v>1925</v>
      </c>
      <c r="D71" s="14" t="s">
        <v>2014</v>
      </c>
      <c r="E71" s="14" t="s">
        <v>1966</v>
      </c>
      <c r="F71" s="15" t="s">
        <v>1967</v>
      </c>
    </row>
    <row r="72" customFormat="false" ht="25.5" hidden="false" customHeight="true" outlineLevel="0" collapsed="false">
      <c r="A72" s="14" t="s">
        <v>2070</v>
      </c>
      <c r="B72" s="14" t="s">
        <v>1948</v>
      </c>
      <c r="C72" s="14" t="s">
        <v>2071</v>
      </c>
      <c r="D72" s="14" t="s">
        <v>1920</v>
      </c>
      <c r="E72" s="14" t="s">
        <v>1966</v>
      </c>
      <c r="F72" s="15" t="s">
        <v>1967</v>
      </c>
    </row>
    <row r="73" customFormat="false" ht="25.5" hidden="false" customHeight="true" outlineLevel="0" collapsed="false">
      <c r="A73" s="14" t="s">
        <v>2072</v>
      </c>
      <c r="B73" s="14" t="s">
        <v>2038</v>
      </c>
      <c r="C73" s="14" t="s">
        <v>1925</v>
      </c>
      <c r="D73" s="14" t="s">
        <v>1973</v>
      </c>
      <c r="E73" s="14" t="s">
        <v>1966</v>
      </c>
      <c r="F73" s="15" t="s">
        <v>1967</v>
      </c>
    </row>
    <row r="74" customFormat="false" ht="25.5" hidden="false" customHeight="true" outlineLevel="0" collapsed="false">
      <c r="A74" s="14" t="s">
        <v>2073</v>
      </c>
      <c r="B74" s="14" t="s">
        <v>1969</v>
      </c>
      <c r="C74" s="14" t="s">
        <v>1925</v>
      </c>
      <c r="D74" s="14" t="s">
        <v>1965</v>
      </c>
      <c r="E74" s="14" t="s">
        <v>1966</v>
      </c>
      <c r="F74" s="15" t="s">
        <v>1967</v>
      </c>
    </row>
    <row r="75" customFormat="false" ht="25.5" hidden="false" customHeight="true" outlineLevel="0" collapsed="false">
      <c r="A75" s="14" t="s">
        <v>2074</v>
      </c>
      <c r="B75" s="14" t="s">
        <v>1948</v>
      </c>
      <c r="C75" s="14" t="s">
        <v>2075</v>
      </c>
      <c r="D75" s="14" t="s">
        <v>2009</v>
      </c>
      <c r="E75" s="14" t="s">
        <v>1966</v>
      </c>
      <c r="F75" s="15" t="s">
        <v>1967</v>
      </c>
    </row>
    <row r="76" customFormat="false" ht="25.5" hidden="false" customHeight="true" outlineLevel="0" collapsed="false">
      <c r="A76" s="14" t="s">
        <v>2076</v>
      </c>
      <c r="B76" s="14" t="s">
        <v>1948</v>
      </c>
      <c r="C76" s="14" t="s">
        <v>2077</v>
      </c>
      <c r="D76" s="14" t="s">
        <v>1999</v>
      </c>
      <c r="E76" s="14" t="s">
        <v>1966</v>
      </c>
      <c r="F76" s="15" t="s">
        <v>1967</v>
      </c>
    </row>
    <row r="77" customFormat="false" ht="25.5" hidden="false" customHeight="true" outlineLevel="0" collapsed="false">
      <c r="A77" s="14" t="s">
        <v>2078</v>
      </c>
      <c r="B77" s="14" t="s">
        <v>1948</v>
      </c>
      <c r="C77" s="14" t="s">
        <v>2029</v>
      </c>
      <c r="D77" s="14" t="s">
        <v>1973</v>
      </c>
      <c r="E77" s="14" t="s">
        <v>1966</v>
      </c>
      <c r="F77" s="15" t="s">
        <v>1967</v>
      </c>
    </row>
    <row r="78" customFormat="false" ht="25.5" hidden="false" customHeight="true" outlineLevel="0" collapsed="false">
      <c r="A78" s="14" t="s">
        <v>2079</v>
      </c>
      <c r="B78" s="14" t="s">
        <v>1948</v>
      </c>
      <c r="C78" s="14" t="s">
        <v>1925</v>
      </c>
      <c r="D78" s="14" t="s">
        <v>1920</v>
      </c>
      <c r="E78" s="14" t="s">
        <v>1966</v>
      </c>
      <c r="F78" s="15" t="s">
        <v>1967</v>
      </c>
    </row>
    <row r="79" customFormat="false" ht="25.5" hidden="false" customHeight="true" outlineLevel="0" collapsed="false">
      <c r="A79" s="14" t="s">
        <v>2080</v>
      </c>
      <c r="B79" s="14" t="s">
        <v>1969</v>
      </c>
      <c r="C79" s="14" t="s">
        <v>1925</v>
      </c>
      <c r="D79" s="14" t="s">
        <v>2081</v>
      </c>
      <c r="E79" s="14" t="s">
        <v>1966</v>
      </c>
      <c r="F79" s="15" t="s">
        <v>1967</v>
      </c>
    </row>
    <row r="80" customFormat="false" ht="25.5" hidden="false" customHeight="true" outlineLevel="0" collapsed="false">
      <c r="A80" s="14" t="s">
        <v>2082</v>
      </c>
      <c r="B80" s="14" t="s">
        <v>1979</v>
      </c>
      <c r="C80" s="14" t="s">
        <v>2083</v>
      </c>
      <c r="D80" s="14" t="s">
        <v>2084</v>
      </c>
      <c r="E80" s="14" t="s">
        <v>1966</v>
      </c>
      <c r="F80" s="15" t="s">
        <v>1967</v>
      </c>
    </row>
    <row r="81" customFormat="false" ht="25.5" hidden="false" customHeight="true" outlineLevel="0" collapsed="false">
      <c r="A81" s="14" t="s">
        <v>2085</v>
      </c>
      <c r="B81" s="14" t="s">
        <v>1979</v>
      </c>
      <c r="C81" s="14" t="s">
        <v>1925</v>
      </c>
      <c r="D81" s="14" t="s">
        <v>1931</v>
      </c>
      <c r="E81" s="14" t="s">
        <v>1966</v>
      </c>
      <c r="F81" s="15" t="s">
        <v>1967</v>
      </c>
    </row>
    <row r="82" customFormat="false" ht="25.5" hidden="false" customHeight="true" outlineLevel="0" collapsed="false">
      <c r="A82" s="14" t="s">
        <v>2086</v>
      </c>
      <c r="B82" s="14" t="s">
        <v>2087</v>
      </c>
      <c r="C82" s="14" t="s">
        <v>1957</v>
      </c>
      <c r="D82" s="14" t="s">
        <v>1931</v>
      </c>
      <c r="E82" s="14" t="s">
        <v>2088</v>
      </c>
      <c r="F82" s="15" t="s">
        <v>2089</v>
      </c>
    </row>
    <row r="83" customFormat="false" ht="25.5" hidden="false" customHeight="true" outlineLevel="0" collapsed="false">
      <c r="A83" s="14" t="s">
        <v>2090</v>
      </c>
      <c r="B83" s="14" t="s">
        <v>2091</v>
      </c>
      <c r="C83" s="14" t="s">
        <v>1939</v>
      </c>
      <c r="D83" s="14" t="s">
        <v>1936</v>
      </c>
      <c r="E83" s="14" t="s">
        <v>2088</v>
      </c>
      <c r="F83" s="15" t="s">
        <v>2092</v>
      </c>
    </row>
    <row r="84" customFormat="false" ht="25.5" hidden="false" customHeight="true" outlineLevel="0" collapsed="false">
      <c r="A84" s="14" t="s">
        <v>2093</v>
      </c>
      <c r="B84" s="14" t="s">
        <v>2094</v>
      </c>
      <c r="C84" s="14" t="s">
        <v>1930</v>
      </c>
      <c r="D84" s="14" t="s">
        <v>1936</v>
      </c>
      <c r="E84" s="14" t="s">
        <v>2088</v>
      </c>
      <c r="F84" s="15" t="s">
        <v>2095</v>
      </c>
    </row>
    <row r="85" customFormat="false" ht="25.5" hidden="false" customHeight="true" outlineLevel="0" collapsed="false">
      <c r="A85" s="14" t="s">
        <v>2096</v>
      </c>
      <c r="B85" s="14" t="s">
        <v>2097</v>
      </c>
      <c r="C85" s="14" t="s">
        <v>1930</v>
      </c>
      <c r="D85" s="14" t="s">
        <v>1936</v>
      </c>
      <c r="E85" s="14" t="s">
        <v>2088</v>
      </c>
      <c r="F85" s="15" t="s">
        <v>2098</v>
      </c>
    </row>
    <row r="86" customFormat="false" ht="25.5" hidden="false" customHeight="true" outlineLevel="0" collapsed="false">
      <c r="A86" s="14" t="s">
        <v>2099</v>
      </c>
      <c r="B86" s="14" t="s">
        <v>2100</v>
      </c>
      <c r="C86" s="14" t="s">
        <v>1930</v>
      </c>
      <c r="D86" s="14" t="s">
        <v>1999</v>
      </c>
      <c r="E86" s="14" t="s">
        <v>2088</v>
      </c>
      <c r="F86" s="15" t="s">
        <v>2101</v>
      </c>
    </row>
    <row r="87" customFormat="false" ht="25.5" hidden="false" customHeight="true" outlineLevel="0" collapsed="false">
      <c r="A87" s="14" t="s">
        <v>2102</v>
      </c>
      <c r="B87" s="14" t="s">
        <v>2103</v>
      </c>
      <c r="C87" s="14" t="s">
        <v>1935</v>
      </c>
      <c r="D87" s="14" t="s">
        <v>1999</v>
      </c>
      <c r="E87" s="14" t="s">
        <v>2088</v>
      </c>
      <c r="F87" s="15" t="s">
        <v>2104</v>
      </c>
    </row>
    <row r="88" customFormat="false" ht="25.5" hidden="false" customHeight="true" outlineLevel="0" collapsed="false">
      <c r="A88" s="14" t="s">
        <v>2105</v>
      </c>
      <c r="B88" s="14" t="s">
        <v>2106</v>
      </c>
      <c r="C88" s="14" t="s">
        <v>1935</v>
      </c>
      <c r="D88" s="14" t="s">
        <v>1931</v>
      </c>
      <c r="E88" s="14" t="s">
        <v>2107</v>
      </c>
      <c r="F88" s="15" t="s">
        <v>2108</v>
      </c>
    </row>
    <row r="89" customFormat="false" ht="25.5" hidden="false" customHeight="true" outlineLevel="0" collapsed="false">
      <c r="A89" s="14" t="s">
        <v>2109</v>
      </c>
      <c r="B89" s="14" t="s">
        <v>2110</v>
      </c>
      <c r="C89" s="14" t="s">
        <v>1925</v>
      </c>
      <c r="D89" s="14" t="s">
        <v>2111</v>
      </c>
      <c r="E89" s="14" t="s">
        <v>2107</v>
      </c>
      <c r="F89" s="15" t="s">
        <v>2108</v>
      </c>
    </row>
    <row r="90" customFormat="false" ht="25.5" hidden="false" customHeight="true" outlineLevel="0" collapsed="false">
      <c r="A90" s="14" t="s">
        <v>2112</v>
      </c>
      <c r="B90" s="14" t="s">
        <v>2110</v>
      </c>
      <c r="C90" s="14" t="s">
        <v>1925</v>
      </c>
      <c r="D90" s="14" t="s">
        <v>2009</v>
      </c>
      <c r="E90" s="14" t="s">
        <v>2107</v>
      </c>
      <c r="F90" s="15" t="s">
        <v>2108</v>
      </c>
    </row>
    <row r="91" customFormat="false" ht="25.5" hidden="false" customHeight="true" outlineLevel="0" collapsed="false">
      <c r="A91" s="14" t="s">
        <v>2113</v>
      </c>
      <c r="B91" s="14" t="s">
        <v>2114</v>
      </c>
      <c r="C91" s="14" t="s">
        <v>1935</v>
      </c>
      <c r="D91" s="14" t="s">
        <v>1944</v>
      </c>
      <c r="E91" s="14" t="s">
        <v>2107</v>
      </c>
      <c r="F91" s="15" t="s">
        <v>2108</v>
      </c>
    </row>
    <row r="92" customFormat="false" ht="25.5" hidden="false" customHeight="true" outlineLevel="0" collapsed="false">
      <c r="A92" s="14" t="s">
        <v>2115</v>
      </c>
      <c r="B92" s="14" t="s">
        <v>2116</v>
      </c>
      <c r="C92" s="14" t="s">
        <v>1935</v>
      </c>
      <c r="D92" s="14" t="s">
        <v>1999</v>
      </c>
      <c r="E92" s="14" t="s">
        <v>2107</v>
      </c>
      <c r="F92" s="15" t="s">
        <v>2108</v>
      </c>
    </row>
    <row r="93" customFormat="false" ht="25.5" hidden="false" customHeight="true" outlineLevel="0" collapsed="false">
      <c r="A93" s="14" t="s">
        <v>2117</v>
      </c>
      <c r="B93" s="14" t="s">
        <v>2118</v>
      </c>
      <c r="C93" s="14" t="s">
        <v>1935</v>
      </c>
      <c r="D93" s="14" t="s">
        <v>1944</v>
      </c>
      <c r="E93" s="14" t="s">
        <v>2107</v>
      </c>
      <c r="F93" s="15" t="s">
        <v>2108</v>
      </c>
    </row>
    <row r="94" customFormat="false" ht="25.5" hidden="false" customHeight="true" outlineLevel="0" collapsed="false">
      <c r="A94" s="14" t="s">
        <v>2119</v>
      </c>
      <c r="B94" s="14" t="s">
        <v>2120</v>
      </c>
      <c r="C94" s="14" t="s">
        <v>1935</v>
      </c>
      <c r="D94" s="14" t="s">
        <v>2014</v>
      </c>
      <c r="E94" s="14" t="s">
        <v>2107</v>
      </c>
      <c r="F94" s="15" t="s">
        <v>2108</v>
      </c>
    </row>
    <row r="95" customFormat="false" ht="25.5" hidden="false" customHeight="true" outlineLevel="0" collapsed="false">
      <c r="A95" s="14" t="s">
        <v>2121</v>
      </c>
      <c r="B95" s="14" t="s">
        <v>2122</v>
      </c>
      <c r="C95" s="14" t="s">
        <v>1935</v>
      </c>
      <c r="D95" s="14" t="s">
        <v>1973</v>
      </c>
      <c r="E95" s="14" t="s">
        <v>2107</v>
      </c>
      <c r="F95" s="15" t="s">
        <v>2108</v>
      </c>
    </row>
    <row r="96" customFormat="false" ht="25.5" hidden="false" customHeight="true" outlineLevel="0" collapsed="false">
      <c r="A96" s="14" t="s">
        <v>2123</v>
      </c>
      <c r="B96" s="14" t="s">
        <v>2124</v>
      </c>
      <c r="C96" s="14" t="s">
        <v>1930</v>
      </c>
      <c r="D96" s="14" t="s">
        <v>1936</v>
      </c>
      <c r="E96" s="14" t="s">
        <v>2107</v>
      </c>
      <c r="F96" s="15" t="s">
        <v>2108</v>
      </c>
    </row>
    <row r="97" customFormat="false" ht="25.5" hidden="false" customHeight="true" outlineLevel="0" collapsed="false">
      <c r="A97" s="14" t="s">
        <v>2125</v>
      </c>
      <c r="B97" s="14" t="s">
        <v>2126</v>
      </c>
      <c r="C97" s="14" t="s">
        <v>1935</v>
      </c>
      <c r="D97" s="14" t="s">
        <v>1936</v>
      </c>
      <c r="E97" s="14" t="s">
        <v>2107</v>
      </c>
      <c r="F97" s="15" t="s">
        <v>2108</v>
      </c>
    </row>
    <row r="98" customFormat="false" ht="25.5" hidden="false" customHeight="true" outlineLevel="0" collapsed="false">
      <c r="A98" s="14" t="s">
        <v>2127</v>
      </c>
      <c r="B98" s="14" t="s">
        <v>2128</v>
      </c>
      <c r="C98" s="14" t="s">
        <v>1930</v>
      </c>
      <c r="D98" s="14" t="s">
        <v>1931</v>
      </c>
      <c r="E98" s="14" t="s">
        <v>2107</v>
      </c>
      <c r="F98" s="15" t="s">
        <v>2108</v>
      </c>
    </row>
    <row r="99" customFormat="false" ht="25.5" hidden="false" customHeight="true" outlineLevel="0" collapsed="false">
      <c r="A99" s="14" t="s">
        <v>2129</v>
      </c>
      <c r="B99" s="14" t="s">
        <v>2130</v>
      </c>
      <c r="C99" s="14" t="s">
        <v>1972</v>
      </c>
      <c r="D99" s="14" t="s">
        <v>2084</v>
      </c>
      <c r="E99" s="14" t="s">
        <v>2107</v>
      </c>
      <c r="F99" s="15" t="s">
        <v>2108</v>
      </c>
    </row>
    <row r="100" customFormat="false" ht="25.5" hidden="false" customHeight="true" outlineLevel="0" collapsed="false">
      <c r="A100" s="14" t="s">
        <v>2131</v>
      </c>
      <c r="B100" s="14" t="s">
        <v>2130</v>
      </c>
      <c r="C100" s="14" t="s">
        <v>2132</v>
      </c>
      <c r="D100" s="14" t="s">
        <v>1973</v>
      </c>
      <c r="E100" s="14" t="s">
        <v>2107</v>
      </c>
      <c r="F100" s="15" t="s">
        <v>2108</v>
      </c>
    </row>
    <row r="101" customFormat="false" ht="25.5" hidden="false" customHeight="true" outlineLevel="0" collapsed="false">
      <c r="A101" s="14" t="s">
        <v>2133</v>
      </c>
      <c r="B101" s="14" t="s">
        <v>2134</v>
      </c>
      <c r="C101" s="14" t="s">
        <v>1930</v>
      </c>
      <c r="D101" s="14" t="s">
        <v>1999</v>
      </c>
      <c r="E101" s="14" t="s">
        <v>2107</v>
      </c>
      <c r="F101" s="15" t="s">
        <v>2108</v>
      </c>
    </row>
    <row r="102" customFormat="false" ht="25.5" hidden="false" customHeight="true" outlineLevel="0" collapsed="false">
      <c r="A102" s="14" t="s">
        <v>2135</v>
      </c>
      <c r="B102" s="14" t="s">
        <v>2136</v>
      </c>
      <c r="C102" s="14" t="s">
        <v>2137</v>
      </c>
      <c r="D102" s="14" t="s">
        <v>1931</v>
      </c>
      <c r="E102" s="14" t="s">
        <v>2107</v>
      </c>
      <c r="F102" s="15" t="s">
        <v>2108</v>
      </c>
    </row>
    <row r="103" customFormat="false" ht="25.5" hidden="false" customHeight="true" outlineLevel="0" collapsed="false">
      <c r="A103" s="14" t="s">
        <v>2138</v>
      </c>
      <c r="B103" s="14" t="s">
        <v>2139</v>
      </c>
      <c r="C103" s="14" t="s">
        <v>2140</v>
      </c>
      <c r="D103" s="14" t="s">
        <v>1931</v>
      </c>
      <c r="E103" s="14" t="s">
        <v>2107</v>
      </c>
      <c r="F103" s="15" t="s">
        <v>2108</v>
      </c>
    </row>
    <row r="104" customFormat="false" ht="25.5" hidden="false" customHeight="true" outlineLevel="0" collapsed="false">
      <c r="A104" s="14" t="s">
        <v>2141</v>
      </c>
      <c r="B104" s="14" t="s">
        <v>2142</v>
      </c>
      <c r="C104" s="14" t="s">
        <v>2143</v>
      </c>
      <c r="D104" s="14" t="s">
        <v>1990</v>
      </c>
      <c r="E104" s="14" t="s">
        <v>2107</v>
      </c>
      <c r="F104" s="15" t="s">
        <v>2108</v>
      </c>
    </row>
  </sheetData>
  <autoFilter ref="A4:F10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565C0"/>
    <pageSetUpPr fitToPage="false"/>
  </sheetPr>
  <dimension ref="A1:E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52"/>
    <col collapsed="false" customWidth="true" hidden="false" outlineLevel="0" max="3" min="3" style="0" width="7"/>
    <col collapsed="false" customWidth="true" hidden="false" outlineLevel="0" max="4" min="4" style="0" width="8"/>
    <col collapsed="false" customWidth="true" hidden="false" outlineLevel="0" max="5" min="5" style="0" width="90"/>
  </cols>
  <sheetData>
    <row r="1" customFormat="false" ht="17.35" hidden="false" customHeight="false" outlineLevel="0" collapsed="false">
      <c r="A1" s="27" t="s">
        <v>2144</v>
      </c>
    </row>
    <row r="2" customFormat="false" ht="15" hidden="false" customHeight="false" outlineLevel="0" collapsed="false">
      <c r="A2" s="2" t="s">
        <v>2145</v>
      </c>
    </row>
    <row r="4" customFormat="false" ht="15" hidden="false" customHeight="false" outlineLevel="0" collapsed="false">
      <c r="A4" s="28" t="s">
        <v>2146</v>
      </c>
      <c r="B4" s="28" t="s">
        <v>41</v>
      </c>
      <c r="C4" s="28" t="s">
        <v>2147</v>
      </c>
      <c r="D4" s="28" t="s">
        <v>18</v>
      </c>
      <c r="E4" s="28" t="s">
        <v>2148</v>
      </c>
    </row>
    <row r="5" customFormat="false" ht="30" hidden="false" customHeight="true" outlineLevel="0" collapsed="false">
      <c r="A5" s="34" t="s">
        <v>2149</v>
      </c>
      <c r="B5" s="15" t="s">
        <v>2150</v>
      </c>
      <c r="C5" s="14" t="n">
        <f aca="false">COUNTIF('Target List'!$B$2:$B$218,"R1 *")</f>
        <v>7</v>
      </c>
      <c r="D5" s="14" t="n">
        <f aca="false">COUNTIFS('Target List'!$B$2:$B$218,"R1 *",'Target List'!$A$2:$A$218,"A")</f>
        <v>2</v>
      </c>
      <c r="E5" s="15" t="s">
        <v>2151</v>
      </c>
    </row>
    <row r="6" customFormat="false" ht="30" hidden="false" customHeight="true" outlineLevel="0" collapsed="false">
      <c r="A6" s="34" t="s">
        <v>2152</v>
      </c>
      <c r="B6" s="15" t="s">
        <v>2153</v>
      </c>
      <c r="C6" s="14" t="n">
        <f aca="false">COUNTIF('Target List'!$B$2:$B$218,"R2 *")</f>
        <v>16</v>
      </c>
      <c r="D6" s="14" t="n">
        <f aca="false">COUNTIFS('Target List'!$B$2:$B$218,"R2 *",'Target List'!$A$2:$A$218,"A")</f>
        <v>5</v>
      </c>
      <c r="E6" s="15" t="s">
        <v>2154</v>
      </c>
    </row>
    <row r="7" customFormat="false" ht="30" hidden="false" customHeight="true" outlineLevel="0" collapsed="false">
      <c r="A7" s="34" t="s">
        <v>2155</v>
      </c>
      <c r="B7" s="15" t="s">
        <v>2156</v>
      </c>
      <c r="C7" s="14" t="n">
        <f aca="false">COUNTIF('Target List'!$B$2:$B$218,"N1 *")</f>
        <v>16</v>
      </c>
      <c r="D7" s="14" t="n">
        <f aca="false">COUNTIFS('Target List'!$B$2:$B$218,"N1 *",'Target List'!$A$2:$A$218,"A")</f>
        <v>7</v>
      </c>
      <c r="E7" s="15" t="s">
        <v>2157</v>
      </c>
    </row>
    <row r="8" customFormat="false" ht="30" hidden="false" customHeight="true" outlineLevel="0" collapsed="false">
      <c r="A8" s="34" t="s">
        <v>2158</v>
      </c>
      <c r="B8" s="15" t="s">
        <v>2159</v>
      </c>
      <c r="C8" s="14" t="n">
        <f aca="false">COUNTIF('Target List'!$B$2:$B$218,"N2 *")</f>
        <v>11</v>
      </c>
      <c r="D8" s="14" t="n">
        <f aca="false">COUNTIFS('Target List'!$B$2:$B$218,"N2 *",'Target List'!$A$2:$A$218,"A")</f>
        <v>1</v>
      </c>
      <c r="E8" s="15" t="s">
        <v>2160</v>
      </c>
    </row>
    <row r="9" customFormat="false" ht="30" hidden="false" customHeight="true" outlineLevel="0" collapsed="false">
      <c r="A9" s="34" t="s">
        <v>2161</v>
      </c>
      <c r="B9" s="15" t="s">
        <v>2162</v>
      </c>
      <c r="C9" s="14" t="n">
        <f aca="false">COUNTIF('Target List'!$B$2:$B$218,"H1 *")</f>
        <v>8</v>
      </c>
      <c r="D9" s="14" t="n">
        <f aca="false">COUNTIFS('Target List'!$B$2:$B$218,"H1 *",'Target List'!$A$2:$A$218,"A")</f>
        <v>2</v>
      </c>
      <c r="E9" s="15" t="s">
        <v>2163</v>
      </c>
    </row>
    <row r="10" customFormat="false" ht="30" hidden="false" customHeight="true" outlineLevel="0" collapsed="false">
      <c r="A10" s="34" t="s">
        <v>2164</v>
      </c>
      <c r="B10" s="15" t="s">
        <v>2165</v>
      </c>
      <c r="C10" s="14" t="n">
        <f aca="false">COUNTIF('Target List'!$B$2:$B$218,"H2 *")</f>
        <v>13</v>
      </c>
      <c r="D10" s="14" t="n">
        <f aca="false">COUNTIFS('Target List'!$B$2:$B$218,"H2 *",'Target List'!$A$2:$A$218,"A")</f>
        <v>6</v>
      </c>
      <c r="E10" s="15" t="s">
        <v>2166</v>
      </c>
    </row>
    <row r="11" customFormat="false" ht="30" hidden="false" customHeight="true" outlineLevel="0" collapsed="false">
      <c r="A11" s="34" t="s">
        <v>2167</v>
      </c>
      <c r="B11" s="15" t="s">
        <v>2168</v>
      </c>
      <c r="C11" s="14" t="n">
        <f aca="false">COUNTIF('Target List'!$B$2:$B$218,"P1 *")</f>
        <v>19</v>
      </c>
      <c r="D11" s="14" t="n">
        <f aca="false">COUNTIFS('Target List'!$B$2:$B$218,"P1 *",'Target List'!$A$2:$A$218,"A")</f>
        <v>4</v>
      </c>
      <c r="E11" s="15" t="s">
        <v>2169</v>
      </c>
    </row>
    <row r="12" customFormat="false" ht="30" hidden="false" customHeight="true" outlineLevel="0" collapsed="false">
      <c r="A12" s="34" t="s">
        <v>2170</v>
      </c>
      <c r="B12" s="15" t="s">
        <v>2171</v>
      </c>
      <c r="C12" s="14" t="n">
        <f aca="false">COUNTIF('Target List'!$B$2:$B$218,"W1 *")</f>
        <v>13</v>
      </c>
      <c r="D12" s="14" t="n">
        <f aca="false">COUNTIFS('Target List'!$B$2:$B$218,"W1 *",'Target List'!$A$2:$A$218,"A")</f>
        <v>2</v>
      </c>
      <c r="E12" s="15" t="s">
        <v>2172</v>
      </c>
    </row>
    <row r="13" customFormat="false" ht="30" hidden="false" customHeight="true" outlineLevel="0" collapsed="false">
      <c r="A13" s="34" t="s">
        <v>2173</v>
      </c>
      <c r="B13" s="15" t="s">
        <v>2174</v>
      </c>
      <c r="C13" s="14" t="n">
        <f aca="false">COUNTIF('Target List'!$B$2:$B$218,"S1 *")</f>
        <v>21</v>
      </c>
      <c r="D13" s="14" t="n">
        <f aca="false">COUNTIFS('Target List'!$B$2:$B$218,"S1 *",'Target List'!$A$2:$A$218,"A")</f>
        <v>10</v>
      </c>
      <c r="E13" s="15" t="s">
        <v>2175</v>
      </c>
    </row>
    <row r="14" customFormat="false" ht="30" hidden="false" customHeight="true" outlineLevel="0" collapsed="false">
      <c r="A14" s="34" t="s">
        <v>2176</v>
      </c>
      <c r="B14" s="15" t="s">
        <v>2177</v>
      </c>
      <c r="C14" s="14" t="n">
        <f aca="false">COUNTIF('Target List'!$B$2:$B$218,"Q1 *")</f>
        <v>19</v>
      </c>
      <c r="D14" s="14" t="n">
        <f aca="false">COUNTIFS('Target List'!$B$2:$B$218,"Q1 *",'Target List'!$A$2:$A$218,"A")</f>
        <v>5</v>
      </c>
      <c r="E14" s="15" t="s">
        <v>2178</v>
      </c>
    </row>
    <row r="15" customFormat="false" ht="30" hidden="false" customHeight="true" outlineLevel="0" collapsed="false">
      <c r="A15" s="34" t="s">
        <v>2179</v>
      </c>
      <c r="B15" s="15" t="s">
        <v>2180</v>
      </c>
      <c r="C15" s="14" t="n">
        <f aca="false">COUNTIF('Target List'!$B$2:$B$218,"P2 *")</f>
        <v>18</v>
      </c>
      <c r="D15" s="14" t="n">
        <f aca="false">COUNTIFS('Target List'!$B$2:$B$218,"P2 *",'Target List'!$A$2:$A$218,"A")</f>
        <v>6</v>
      </c>
      <c r="E15" s="15" t="s">
        <v>2181</v>
      </c>
    </row>
    <row r="16" customFormat="false" ht="30" hidden="false" customHeight="true" outlineLevel="0" collapsed="false">
      <c r="A16" s="34" t="s">
        <v>2182</v>
      </c>
      <c r="B16" s="15" t="s">
        <v>2183</v>
      </c>
      <c r="C16" s="14" t="n">
        <f aca="false">COUNTIF('Target List'!$B$2:$B$218,"K1 *")</f>
        <v>26</v>
      </c>
      <c r="D16" s="14" t="n">
        <f aca="false">COUNTIFS('Target List'!$B$2:$B$218,"K1 *",'Target List'!$A$2:$A$218,"A")</f>
        <v>7</v>
      </c>
      <c r="E16" s="15" t="s">
        <v>2184</v>
      </c>
    </row>
    <row r="17" customFormat="false" ht="30" hidden="false" customHeight="true" outlineLevel="0" collapsed="false">
      <c r="A17" s="34" t="s">
        <v>2185</v>
      </c>
      <c r="B17" s="15" t="s">
        <v>2186</v>
      </c>
      <c r="C17" s="14" t="n">
        <f aca="false">COUNTIF('Target List'!$B$2:$B$218,"B1 *")</f>
        <v>7</v>
      </c>
      <c r="D17" s="14" t="n">
        <f aca="false">COUNTIFS('Target List'!$B$2:$B$218,"B1 *",'Target List'!$A$2:$A$218,"A")</f>
        <v>2</v>
      </c>
      <c r="E17" s="15" t="s">
        <v>2187</v>
      </c>
    </row>
    <row r="18" customFormat="false" ht="30" hidden="false" customHeight="true" outlineLevel="0" collapsed="false">
      <c r="A18" s="34" t="s">
        <v>2188</v>
      </c>
      <c r="B18" s="15" t="s">
        <v>2189</v>
      </c>
      <c r="C18" s="14" t="n">
        <f aca="false">COUNTIF('Target List'!$B$2:$B$218,"F1 *")</f>
        <v>22</v>
      </c>
      <c r="D18" s="14" t="n">
        <f aca="false">COUNTIFS('Target List'!$B$2:$B$218,"F1 *",'Target List'!$A$2:$A$218,"A")</f>
        <v>7</v>
      </c>
      <c r="E18" s="15" t="s">
        <v>2190</v>
      </c>
    </row>
    <row r="19" customFormat="false" ht="30" hidden="false" customHeight="true" outlineLevel="0" collapsed="false">
      <c r="A19" s="34" t="s">
        <v>2191</v>
      </c>
      <c r="B19" s="15" t="s">
        <v>2192</v>
      </c>
      <c r="C19" s="14" t="n">
        <f aca="false">COUNTIF('Target List'!$B$2:$B$218,"X1 *")</f>
        <v>1</v>
      </c>
      <c r="D19" s="14" t="n">
        <f aca="false">COUNTIFS('Target List'!$B$2:$B$218,"X1 *",'Target List'!$A$2:$A$218,"A")</f>
        <v>0</v>
      </c>
      <c r="E19" s="15" t="s">
        <v>2193</v>
      </c>
    </row>
    <row r="21" customFormat="false" ht="15" hidden="false" customHeight="false" outlineLevel="0" collapsed="false">
      <c r="B21" s="35" t="s">
        <v>2194</v>
      </c>
    </row>
    <row r="22" customFormat="false" ht="15" hidden="false" customHeight="false" outlineLevel="0" collapsed="false">
      <c r="B22" s="36" t="s">
        <v>2195</v>
      </c>
    </row>
    <row r="23" customFormat="false" ht="15" hidden="false" customHeight="false" outlineLevel="0" collapsed="false">
      <c r="B23" s="37" t="s">
        <v>2196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65100"/>
    <pageSetUpPr fitToPage="false"/>
  </sheetPr>
  <dimension ref="B1:B6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110"/>
  </cols>
  <sheetData>
    <row r="1" customFormat="false" ht="19.7" hidden="false" customHeight="false" outlineLevel="0" collapsed="false">
      <c r="B1" s="1" t="s">
        <v>2197</v>
      </c>
    </row>
    <row r="2" customFormat="false" ht="13.5" hidden="false" customHeight="true" outlineLevel="0" collapsed="false">
      <c r="B2" s="38" t="s">
        <v>2198</v>
      </c>
    </row>
    <row r="3" customFormat="false" ht="27.75" hidden="false" customHeight="true" outlineLevel="0" collapsed="false">
      <c r="B3" s="39" t="s">
        <v>2199</v>
      </c>
    </row>
    <row r="5" customFormat="false" ht="15" hidden="false" customHeight="false" outlineLevel="0" collapsed="false">
      <c r="B5" s="3" t="s">
        <v>2200</v>
      </c>
    </row>
    <row r="6" customFormat="false" ht="13.5" hidden="false" customHeight="true" outlineLevel="0" collapsed="false">
      <c r="B6" s="39" t="s">
        <v>2201</v>
      </c>
    </row>
    <row r="7" customFormat="false" ht="13.5" hidden="false" customHeight="true" outlineLevel="0" collapsed="false">
      <c r="B7" s="39" t="s">
        <v>2202</v>
      </c>
    </row>
    <row r="8" customFormat="false" ht="27.75" hidden="false" customHeight="true" outlineLevel="0" collapsed="false">
      <c r="B8" s="39" t="s">
        <v>2203</v>
      </c>
    </row>
    <row r="9" customFormat="false" ht="13.5" hidden="false" customHeight="true" outlineLevel="0" collapsed="false">
      <c r="B9" s="39" t="s">
        <v>2204</v>
      </c>
    </row>
    <row r="10" customFormat="false" ht="13.5" hidden="false" customHeight="true" outlineLevel="0" collapsed="false">
      <c r="B10" s="39" t="s">
        <v>2205</v>
      </c>
    </row>
    <row r="12" customFormat="false" ht="15" hidden="false" customHeight="false" outlineLevel="0" collapsed="false">
      <c r="B12" s="3" t="s">
        <v>2206</v>
      </c>
    </row>
    <row r="13" customFormat="false" ht="13.5" hidden="false" customHeight="true" outlineLevel="0" collapsed="false">
      <c r="B13" s="39" t="s">
        <v>2207</v>
      </c>
    </row>
    <row r="14" customFormat="false" ht="13.5" hidden="false" customHeight="true" outlineLevel="0" collapsed="false">
      <c r="B14" s="39" t="s">
        <v>2208</v>
      </c>
    </row>
    <row r="15" customFormat="false" ht="13.5" hidden="false" customHeight="true" outlineLevel="0" collapsed="false">
      <c r="B15" s="39" t="s">
        <v>2209</v>
      </c>
    </row>
    <row r="16" customFormat="false" ht="13.5" hidden="false" customHeight="true" outlineLevel="0" collapsed="false">
      <c r="B16" s="39" t="s">
        <v>2210</v>
      </c>
    </row>
    <row r="17" customFormat="false" ht="13.5" hidden="false" customHeight="true" outlineLevel="0" collapsed="false">
      <c r="B17" s="39" t="s">
        <v>2211</v>
      </c>
    </row>
    <row r="19" customFormat="false" ht="15" hidden="false" customHeight="false" outlineLevel="0" collapsed="false">
      <c r="B19" s="3" t="s">
        <v>2212</v>
      </c>
    </row>
    <row r="20" customFormat="false" ht="45" hidden="false" customHeight="true" outlineLevel="0" collapsed="false">
      <c r="B20" s="40" t="s">
        <v>2213</v>
      </c>
    </row>
    <row r="21" customFormat="false" ht="13.5" hidden="false" customHeight="true" outlineLevel="0" collapsed="false">
      <c r="B21" s="39" t="s">
        <v>2214</v>
      </c>
    </row>
    <row r="22" customFormat="false" ht="30" hidden="false" customHeight="true" outlineLevel="0" collapsed="false">
      <c r="B22" s="40" t="s">
        <v>2215</v>
      </c>
    </row>
    <row r="23" customFormat="false" ht="13.5" hidden="false" customHeight="true" outlineLevel="0" collapsed="false">
      <c r="B23" s="38" t="s">
        <v>2216</v>
      </c>
    </row>
    <row r="25" customFormat="false" ht="15" hidden="false" customHeight="false" outlineLevel="0" collapsed="false">
      <c r="B25" s="3" t="s">
        <v>2217</v>
      </c>
    </row>
    <row r="26" customFormat="false" ht="45" hidden="false" customHeight="true" outlineLevel="0" collapsed="false">
      <c r="B26" s="40" t="s">
        <v>2218</v>
      </c>
    </row>
    <row r="27" customFormat="false" ht="13.5" hidden="false" customHeight="true" outlineLevel="0" collapsed="false">
      <c r="B27" s="39" t="s">
        <v>2219</v>
      </c>
    </row>
    <row r="28" customFormat="false" ht="30" hidden="false" customHeight="true" outlineLevel="0" collapsed="false">
      <c r="B28" s="40" t="s">
        <v>2220</v>
      </c>
    </row>
    <row r="29" customFormat="false" ht="13.5" hidden="false" customHeight="true" outlineLevel="0" collapsed="false">
      <c r="B29" s="39" t="s">
        <v>2221</v>
      </c>
    </row>
    <row r="31" customFormat="false" ht="15" hidden="false" customHeight="false" outlineLevel="0" collapsed="false">
      <c r="B31" s="3" t="s">
        <v>2222</v>
      </c>
    </row>
    <row r="32" customFormat="false" ht="27.75" hidden="false" customHeight="true" outlineLevel="0" collapsed="false">
      <c r="B32" s="39" t="s">
        <v>2223</v>
      </c>
    </row>
    <row r="33" customFormat="false" ht="27.75" hidden="false" customHeight="true" outlineLevel="0" collapsed="false">
      <c r="B33" s="39" t="s">
        <v>2224</v>
      </c>
    </row>
    <row r="34" customFormat="false" ht="13.5" hidden="false" customHeight="true" outlineLevel="0" collapsed="false">
      <c r="B34" s="39" t="s">
        <v>2225</v>
      </c>
    </row>
    <row r="35" customFormat="false" ht="13.5" hidden="false" customHeight="true" outlineLevel="0" collapsed="false">
      <c r="B35" s="39" t="s">
        <v>2226</v>
      </c>
    </row>
    <row r="37" customFormat="false" ht="15" hidden="false" customHeight="false" outlineLevel="0" collapsed="false">
      <c r="B37" s="3" t="s">
        <v>2227</v>
      </c>
    </row>
    <row r="38" customFormat="false" ht="13.5" hidden="false" customHeight="true" outlineLevel="0" collapsed="false">
      <c r="B38" s="39" t="s">
        <v>2228</v>
      </c>
    </row>
    <row r="39" customFormat="false" ht="27.75" hidden="false" customHeight="true" outlineLevel="0" collapsed="false">
      <c r="B39" s="39" t="s">
        <v>2229</v>
      </c>
    </row>
    <row r="40" customFormat="false" ht="27.75" hidden="false" customHeight="true" outlineLevel="0" collapsed="false">
      <c r="B40" s="39" t="s">
        <v>2230</v>
      </c>
    </row>
    <row r="41" customFormat="false" ht="13.5" hidden="false" customHeight="true" outlineLevel="0" collapsed="false">
      <c r="B41" s="39" t="s">
        <v>2231</v>
      </c>
    </row>
    <row r="42" customFormat="false" ht="13.5" hidden="false" customHeight="true" outlineLevel="0" collapsed="false">
      <c r="B42" s="39" t="s">
        <v>2232</v>
      </c>
    </row>
    <row r="43" customFormat="false" ht="13.5" hidden="false" customHeight="true" outlineLevel="0" collapsed="false">
      <c r="B43" s="39" t="s">
        <v>2233</v>
      </c>
    </row>
    <row r="45" customFormat="false" ht="15" hidden="false" customHeight="false" outlineLevel="0" collapsed="false">
      <c r="B45" s="3" t="s">
        <v>2234</v>
      </c>
    </row>
    <row r="46" customFormat="false" ht="13.5" hidden="false" customHeight="true" outlineLevel="0" collapsed="false">
      <c r="B46" s="39" t="s">
        <v>2235</v>
      </c>
    </row>
    <row r="47" customFormat="false" ht="13.5" hidden="false" customHeight="true" outlineLevel="0" collapsed="false">
      <c r="B47" s="39" t="s">
        <v>2236</v>
      </c>
    </row>
    <row r="48" customFormat="false" ht="13.5" hidden="false" customHeight="true" outlineLevel="0" collapsed="false">
      <c r="B48" s="39" t="s">
        <v>2237</v>
      </c>
    </row>
    <row r="49" customFormat="false" ht="13.5" hidden="false" customHeight="true" outlineLevel="0" collapsed="false">
      <c r="B49" s="39" t="s">
        <v>2238</v>
      </c>
    </row>
    <row r="50" customFormat="false" ht="13.5" hidden="false" customHeight="true" outlineLevel="0" collapsed="false">
      <c r="B50" s="39" t="s">
        <v>2239</v>
      </c>
    </row>
    <row r="52" customFormat="false" ht="15" hidden="false" customHeight="false" outlineLevel="0" collapsed="false">
      <c r="B52" s="3" t="s">
        <v>2240</v>
      </c>
    </row>
    <row r="53" customFormat="false" ht="42" hidden="false" customHeight="true" outlineLevel="0" collapsed="false">
      <c r="B53" s="39" t="s">
        <v>2241</v>
      </c>
    </row>
    <row r="54" customFormat="false" ht="27.75" hidden="false" customHeight="true" outlineLevel="0" collapsed="false">
      <c r="B54" s="39" t="s">
        <v>2242</v>
      </c>
    </row>
    <row r="55" customFormat="false" ht="13.5" hidden="false" customHeight="true" outlineLevel="0" collapsed="false">
      <c r="B55" s="38" t="s">
        <v>2243</v>
      </c>
    </row>
    <row r="57" customFormat="false" ht="15" hidden="false" customHeight="false" outlineLevel="0" collapsed="false">
      <c r="B57" s="3" t="s">
        <v>2244</v>
      </c>
    </row>
    <row r="58" customFormat="false" ht="13.5" hidden="false" customHeight="true" outlineLevel="0" collapsed="false">
      <c r="B58" s="39" t="s">
        <v>2245</v>
      </c>
    </row>
    <row r="59" customFormat="false" ht="13.5" hidden="false" customHeight="true" outlineLevel="0" collapsed="false">
      <c r="B59" s="39" t="s">
        <v>2246</v>
      </c>
    </row>
    <row r="60" customFormat="false" ht="15.75" hidden="false" customHeight="true" outlineLevel="0" collapsed="false">
      <c r="B60" s="40" t="s">
        <v>2247</v>
      </c>
    </row>
    <row r="61" customFormat="false" ht="45" hidden="false" customHeight="true" outlineLevel="0" collapsed="false">
      <c r="B61" s="40" t="s">
        <v>2248</v>
      </c>
    </row>
    <row r="62" customFormat="false" ht="13.5" hidden="false" customHeight="true" outlineLevel="0" collapsed="false">
      <c r="B62" s="39" t="s">
        <v>2249</v>
      </c>
    </row>
    <row r="63" customFormat="false" ht="13.5" hidden="false" customHeight="true" outlineLevel="0" collapsed="false">
      <c r="B63" s="39" t="s">
        <v>2250</v>
      </c>
    </row>
    <row r="65" customFormat="false" ht="15" hidden="false" customHeight="false" outlineLevel="0" collapsed="false">
      <c r="B65" s="3" t="s">
        <v>2251</v>
      </c>
    </row>
    <row r="66" customFormat="false" ht="13.5" hidden="false" customHeight="true" outlineLevel="0" collapsed="false">
      <c r="B66" s="39" t="s">
        <v>2252</v>
      </c>
    </row>
    <row r="67" customFormat="false" ht="13.5" hidden="false" customHeight="true" outlineLevel="0" collapsed="false">
      <c r="B67" s="39" t="s">
        <v>2253</v>
      </c>
    </row>
    <row r="68" customFormat="false" ht="13.5" hidden="false" customHeight="true" outlineLevel="0" collapsed="false">
      <c r="B68" s="39" t="s">
        <v>2254</v>
      </c>
    </row>
    <row r="69" customFormat="false" ht="27.75" hidden="false" customHeight="true" outlineLevel="0" collapsed="false">
      <c r="B69" s="39" t="s">
        <v>2255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2026-08-25T23:48:50Z</dcterms:created>
  <dc:creator>openpyxl</dc:creator>
  <dc:description/>
  <dc:language>en-US</dc:language>
  <cp:lastModifiedBy/>
  <dcterms:modified xsi:type="dcterms:W3CDTF">2026-08-25T23:48:50Z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